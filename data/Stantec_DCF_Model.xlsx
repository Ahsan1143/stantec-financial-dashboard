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Historicals" sheetId="2" state="visible" r:id="rId4"/>
    <sheet name="Ratios" sheetId="3" state="visible" r:id="rId5"/>
    <sheet name="Assumptions" sheetId="4" state="visible" r:id="rId6"/>
    <sheet name="Forecast" sheetId="5" state="visible" r:id="rId7"/>
    <sheet name="WACC" sheetId="6" state="visible" r:id="rId8"/>
    <sheet name="DCF" sheetId="7" state="visible" r:id="rId9"/>
    <sheet name="Comps" sheetId="8" state="visible" r:id="rId10"/>
    <sheet name="Summa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<sst xmlns="http://schemas.openxmlformats.org/spreadsheetml/2006/main" count="348" uniqueCount="270">
  <si>
    <t xml:space="preserve">Stantec Inc. (TSX/NYSE: STN) — Forecast &amp; DCF Model</t>
  </si>
  <si>
    <t xml:space="preserve">C$ millions unless stated. Built to follow the Stantec Build Guide, step by step.</t>
  </si>
  <si>
    <t xml:space="preserve">Legend</t>
  </si>
  <si>
    <t xml:space="preserve">Blue = number typed in (from a report, or your assumption)</t>
  </si>
  <si>
    <t xml:space="preserve">Black = formula (don't type over it)</t>
  </si>
  <si>
    <t xml:space="preserve">Green = link pulled from another tab</t>
  </si>
  <si>
    <t xml:space="preserve">Yellow = you fill this in</t>
  </si>
  <si>
    <t xml:space="preserve">How to type numbers</t>
  </si>
  <si>
    <t xml:space="preserve">Example: gross revenue of $8,144.2 million is typed as 8144.2</t>
  </si>
  <si>
    <t xml:space="preserve">Percentages: type 24% (Excel stores it as 0.24)</t>
  </si>
  <si>
    <t xml:space="preserve">Costs</t>
  </si>
  <si>
    <t xml:space="preserve">Type costs and cash outflows (capex, dividends) as positive numbers; formulas subtract them</t>
  </si>
  <si>
    <t xml:space="preserve">Order of work</t>
  </si>
  <si>
    <t xml:space="preserve">1. Historicals</t>
  </si>
  <si>
    <t xml:space="preserve">FY2024–25 income statement is already entered from the results release. Fill the yellow cells: the FY2023 column, plus the balance sheet and cash flow. FY2025 balance sheet is required; the rest is for ratios. The Check row must read 0.</t>
  </si>
  <si>
    <t xml:space="preserve">2. Ratios</t>
  </si>
  <si>
    <t xml:space="preserve">Automatic. Compare FY2025 with the build guide.</t>
  </si>
  <si>
    <t xml:space="preserve">3. Assumptions</t>
  </si>
  <si>
    <t xml:space="preserve">Review the base case. Fill the 3 yellow market inputs: 10-year Government of Canada yield, beta (Yahoo Finance, STN.TO), today's share price.</t>
  </si>
  <si>
    <t xml:space="preserve">4. Forecast</t>
  </si>
  <si>
    <t xml:space="preserve">Automatic. FY2026 should match the guide's check column.</t>
  </si>
  <si>
    <t xml:space="preserve">5. WACC</t>
  </si>
  <si>
    <t xml:space="preserve">Automatic once market inputs are in. Expect roughly 8–9.5%.</t>
  </si>
  <si>
    <t xml:space="preserve">6. DCF</t>
  </si>
  <si>
    <t xml:space="preserve">Automatic, including the sensitivity table (build guide Step 7 is already done).</t>
  </si>
  <si>
    <t xml:space="preserve">7. Comps</t>
  </si>
  <si>
    <t xml:space="preserve">Fill EV/EBITDA for the four peers and Stantec, and Stantec's EBITDA, all from the same source.</t>
  </si>
  <si>
    <t xml:space="preserve">8. Summary</t>
  </si>
  <si>
    <t xml:space="preserve">Add your name and date, check the verdict, and edit the bullets in your own words. Export this tab to PDF.</t>
  </si>
  <si>
    <t xml:space="preserve">Sources</t>
  </si>
  <si>
    <t xml:space="preserve">Stantec Q4 and full-year 2025 results release (Feb 25, 2026): investors.stantec.com</t>
  </si>
  <si>
    <t xml:space="preserve">Stantec 2025 and 2024 Annual Reports: stantec.com (Investors), SEDAR+ (sedarplus.ca), or SEC EDGAR</t>
  </si>
  <si>
    <t xml:space="preserve">Historical Financials</t>
  </si>
  <si>
    <t xml:space="preserve">C$ millions, fiscal years ending December 31</t>
  </si>
  <si>
    <t xml:space="preserve">Income statement</t>
  </si>
  <si>
    <t xml:space="preserve">FY2023</t>
  </si>
  <si>
    <t xml:space="preserve">FY2024</t>
  </si>
  <si>
    <t xml:space="preserve">FY2025</t>
  </si>
  <si>
    <t xml:space="preserve">Source / notes</t>
  </si>
  <si>
    <t xml:space="preserve">Gross revenue</t>
  </si>
  <si>
    <t xml:space="preserve">FY2024–25: Stantec Q4/FY2025 results release (Feb 25, 2026), Financial Summary table. FY2023: 2024 Annual Report.</t>
  </si>
  <si>
    <t xml:space="preserve">Subconsultant and other direct expenses</t>
  </si>
  <si>
    <t xml:space="preserve">FY2024–25 derived as gross − net revenue from the release; confirm against the annual report line.</t>
  </si>
  <si>
    <t xml:space="preserve">Net revenue</t>
  </si>
  <si>
    <t xml:space="preserve">Stantec measures growth and margins on this line</t>
  </si>
  <si>
    <t xml:space="preserve">Direct payroll costs</t>
  </si>
  <si>
    <t xml:space="preserve">Project margin</t>
  </si>
  <si>
    <t xml:space="preserve">Administrative and marketing</t>
  </si>
  <si>
    <t xml:space="preserve">Depreciation of property and equipment</t>
  </si>
  <si>
    <t xml:space="preserve">Depreciation of lease assets</t>
  </si>
  <si>
    <t xml:space="preserve">Net impairment</t>
  </si>
  <si>
    <t xml:space="preserve">Amortization of intangible assets</t>
  </si>
  <si>
    <t xml:space="preserve">EBIT (operating profit)</t>
  </si>
  <si>
    <t xml:space="preserve">Net interest and finance expense</t>
  </si>
  <si>
    <t xml:space="preserve">Other income</t>
  </si>
  <si>
    <t xml:space="preserve">Income before taxes</t>
  </si>
  <si>
    <t xml:space="preserve">Income taxes</t>
  </si>
  <si>
    <t xml:space="preserve">Net income</t>
  </si>
  <si>
    <t xml:space="preserve">Reported net income</t>
  </si>
  <si>
    <t xml:space="preserve">Type the net income shown in the report</t>
  </si>
  <si>
    <t xml:space="preserve">Check (must be 0)</t>
  </si>
  <si>
    <t xml:space="preserve">Not 0 = a mistyped number or a missing line</t>
  </si>
  <si>
    <t xml:space="preserve">Balance sheet (Dec 31)</t>
  </si>
  <si>
    <t xml:space="preserve">Cash and cash equivalents</t>
  </si>
  <si>
    <t xml:space="preserve">FY2025 required (used in net debt and the DCF)</t>
  </si>
  <si>
    <t xml:space="preserve">Trade and other receivables</t>
  </si>
  <si>
    <t xml:space="preserve">FY2025 required (drives working capital %)</t>
  </si>
  <si>
    <t xml:space="preserve">Contract assets (work done, not yet billed)</t>
  </si>
  <si>
    <t xml:space="preserve">FY2025 required</t>
  </si>
  <si>
    <t xml:space="preserve">Trade and other payables</t>
  </si>
  <si>
    <t xml:space="preserve">Contract liabilities (billed, not yet done)</t>
  </si>
  <si>
    <t xml:space="preserve">Total debt (excl. lease liabilities)</t>
  </si>
  <si>
    <t xml:space="preserve">FY2024–25: "Total long-term debt" from the results release. Confirm it includes the current portion and excludes leases.</t>
  </si>
  <si>
    <t xml:space="preserve">Total shareholders' equity</t>
  </si>
  <si>
    <t xml:space="preserve">Used for return on equity</t>
  </si>
  <si>
    <t xml:space="preserve">Cash flow</t>
  </si>
  <si>
    <t xml:space="preserve">Cash flows from operating activities</t>
  </si>
  <si>
    <t xml:space="preserve">Capex (property &amp; equipment + intangibles)</t>
  </si>
  <si>
    <t xml:space="preserve">Type as a positive number</t>
  </si>
  <si>
    <t xml:space="preserve">Business acquisitions</t>
  </si>
  <si>
    <t xml:space="preserve">Dividends paid</t>
  </si>
  <si>
    <t xml:space="preserve">Key Ratios</t>
  </si>
  <si>
    <t xml:space="preserve">All automatic. FY2025 should match the build guide.</t>
  </si>
  <si>
    <t xml:space="preserve">Ratio</t>
  </si>
  <si>
    <t xml:space="preserve">Formula</t>
  </si>
  <si>
    <t xml:space="preserve">Net revenue growth</t>
  </si>
  <si>
    <t xml:space="preserve">n/a</t>
  </si>
  <si>
    <t xml:space="preserve">(this year − last year) ÷ last year</t>
  </si>
  <si>
    <t xml:space="preserve">Project margin %</t>
  </si>
  <si>
    <t xml:space="preserve">project margin ÷ net revenue</t>
  </si>
  <si>
    <t xml:space="preserve">Admin &amp; marketing %</t>
  </si>
  <si>
    <t xml:space="preserve">admin &amp; marketing ÷ net revenue</t>
  </si>
  <si>
    <t xml:space="preserve">Depreciation of P&amp;E %</t>
  </si>
  <si>
    <t xml:space="preserve">÷ net revenue</t>
  </si>
  <si>
    <t xml:space="preserve">Depreciation of lease assets %</t>
  </si>
  <si>
    <t xml:space="preserve">Amortization %</t>
  </si>
  <si>
    <t xml:space="preserve">EBIT margin</t>
  </si>
  <si>
    <t xml:space="preserve">EBIT ÷ net revenue</t>
  </si>
  <si>
    <t xml:space="preserve">EBITDA ($mm)</t>
  </si>
  <si>
    <t xml:space="preserve">EBIT + depreciation of P&amp;E + amortization (leases treated as rent)</t>
  </si>
  <si>
    <t xml:space="preserve">EBITDA margin</t>
  </si>
  <si>
    <t xml:space="preserve">EBITDA ÷ net revenue</t>
  </si>
  <si>
    <t xml:space="preserve">Net income margin</t>
  </si>
  <si>
    <t xml:space="preserve">net income ÷ net revenue</t>
  </si>
  <si>
    <t xml:space="preserve">Effective tax rate</t>
  </si>
  <si>
    <t xml:space="preserve">income taxes ÷ income before taxes</t>
  </si>
  <si>
    <t xml:space="preserve">Capex % of net revenue</t>
  </si>
  <si>
    <t xml:space="preserve">capex ÷ net revenue</t>
  </si>
  <si>
    <t xml:space="preserve">Cash conversion</t>
  </si>
  <si>
    <t xml:space="preserve">operating cash flow ÷ net income</t>
  </si>
  <si>
    <t xml:space="preserve">Net debt ($mm)</t>
  </si>
  <si>
    <t xml:space="preserve">debt − cash (no leases)</t>
  </si>
  <si>
    <t xml:space="preserve">Net debt ÷ EBITDA</t>
  </si>
  <si>
    <t xml:space="preserve">under 2x is comfortable</t>
  </si>
  <si>
    <t xml:space="preserve">Days sales outstanding</t>
  </si>
  <si>
    <t xml:space="preserve">(receivables + contract assets − contract liabilities) ÷ gross revenue × 365; Stantec reported 69 for 2025</t>
  </si>
  <si>
    <t xml:space="preserve">Net working capital ($mm)</t>
  </si>
  <si>
    <t xml:space="preserve">receivables + contract assets − payables − contract liabilities</t>
  </si>
  <si>
    <t xml:space="preserve">Net working capital % of net revenue</t>
  </si>
  <si>
    <t xml:space="preserve">FY2025 value feeds the forecast</t>
  </si>
  <si>
    <t xml:space="preserve">Return on equity</t>
  </si>
  <si>
    <t xml:space="preserve">net income ÷ average equity</t>
  </si>
  <si>
    <t xml:space="preserve">Forecast Assumptions — Base Case</t>
  </si>
  <si>
    <t xml:space="preserve">Change a blue cell and the whole model updates. Percentages are % of net revenue unless noted.</t>
  </si>
  <si>
    <t xml:space="preserve">Assumption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</si>
  <si>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</si>
  <si>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</si>
  <si>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</si>
  <si>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</si>
  <si>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</si>
  <si>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Why</t>
  </si>
  <si>
    <t xml:space="preserve">2026 = midpoint of management's 8.5–11.5% guidance; fades to a long-run rate. No new acquisitions (same as guidance).</t>
  </si>
  <si>
    <t xml:space="preserve">The 2025 level; has held in a 54–55% band.</t>
  </si>
  <si>
    <t xml:space="preserve">Fell from 39.0% (2024) to 37.8% (2025); assumes a little more cost discipline, then holds.</t>
  </si>
  <si>
    <t xml:space="preserve">The 2025 level.</t>
  </si>
  <si>
    <t xml:space="preserve">The 2025 level (about 2.1%).</t>
  </si>
  <si>
    <t xml:space="preserve">Amortization of intangibles %</t>
  </si>
  <si>
    <t xml:space="preserve">The 2025 level; conservative, since it would shrink without new acquisitions.</t>
  </si>
  <si>
    <t xml:space="preserve">Tax rate (on EBIT)</t>
  </si>
  <si>
    <t xml:space="preserve">Midpoint of management's 23–25% guidance; 2025 was 23.9%.</t>
  </si>
  <si>
    <t xml:space="preserve">Midpoint of management's 1.4–1.8% guidance.</t>
  </si>
  <si>
    <t xml:space="preserve">From your FY2025 balance sheet (Ratios tab); held flat. Shows "-" until the balance sheet is filled in.</t>
  </si>
  <si>
    <t xml:space="preserve">Valuation inputs</t>
  </si>
  <si>
    <t xml:space="preserve">Value</t>
  </si>
  <si>
    <t xml:space="preserve">Why / where to find it</t>
  </si>
  <si>
    <t xml:space="preserve">Terminal growth (g)</t>
  </si>
  <si>
    <t xml:space="preserve">Long-run growth after 2030: roughly inflation plus a little. Must stay below WACC.</t>
  </si>
  <si>
    <t xml:space="preserve">Equity risk premium</t>
  </si>
  <si>
    <t xml:space="preserve">Extra return investors demand for stocks over bonds; a common assumption.</t>
  </si>
  <si>
    <t xml:space="preserve">Pre-tax cost of debt</t>
  </si>
  <si>
    <t xml:space="preserve">Placeholder. Replace with the average rate on Stantec's notes (debt note in the annual report) if you find it.</t>
  </si>
  <si>
    <t xml:space="preserve">Diluted shares (millions)</t>
  </si>
  <si>
    <t xml:space="preserve">Weighted average diluted shares: 114,066,995 (results release, Feb 25, 2026).</t>
  </si>
  <si>
    <t xml:space="preserve">Market inputs — fill in today's values</t>
  </si>
  <si>
    <t xml:space="preserve">Where to find it</t>
  </si>
  <si>
    <t xml:space="preserve">Risk-free rate</t>
  </si>
  <si>
    <t xml:space="preserve">Government of Canada 10-year bond yield (Bank of Canada website). Type as %, e.g. 3.2%.</t>
  </si>
  <si>
    <t xml:space="preserve">Beta</t>
  </si>
  <si>
    <t xml:space="preserve">Yahoo Finance, ticker STN.TO, Statistics tab: "Beta (5Y Monthly)".</t>
  </si>
  <si>
    <t xml:space="preserve">Current share price (C$)</t>
  </si>
  <si>
    <t xml:space="preserve">Yahoo Finance, ticker STN.TO.</t>
  </si>
  <si>
    <t xml:space="preserve">Forecast to Unlevered Free Cash Flow</t>
  </si>
  <si>
    <t xml:space="preserve">C$ millions. FY2025 = actual (linked); FY2026–2030 = formulas driven by the Assumptions tab.</t>
  </si>
  <si>
    <t xml:space="preserve">Line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</si>
  <si>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</si>
  <si>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</si>
  <si>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</si>
  <si>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</si>
  <si>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</si>
  <si>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</si>
  <si>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Net impairment (one-off, not forecast)</t>
  </si>
  <si>
    <t xml:space="preserve">EBIT</t>
  </si>
  <si>
    <t xml:space="preserve">Tax on EBIT</t>
  </si>
  <si>
    <t xml:space="preserve">NOPAT (after-tax operating profit)</t>
  </si>
  <si>
    <t xml:space="preserve">Plus: depreciation of P&amp;E + amortization</t>
  </si>
  <si>
    <t xml:space="preserve">Less: capex</t>
  </si>
  <si>
    <t xml:space="preserve">Less: increase in working capital</t>
  </si>
  <si>
    <t xml:space="preserve">Unlevered free cash flow</t>
  </si>
  <si>
    <t xml:space="preserve">Leases are treated as rent: lease depreciation stays a cost and is NOT added back, and lease liabilities are left out of debt.</t>
  </si>
  <si>
    <t xml:space="preserve">Discount Rate (WACC)</t>
  </si>
  <si>
    <t xml:space="preserve">WACC = equity weight × cost of equity + debt weight × cost of debt × (1 − tax rate)</t>
  </si>
  <si>
    <t xml:space="preserve">Input</t>
  </si>
  <si>
    <t xml:space="preserve">Notes</t>
  </si>
  <si>
    <t xml:space="preserve">Assumptions tab</t>
  </si>
  <si>
    <t xml:space="preserve">Cost of equity</t>
  </si>
  <si>
    <t xml:space="preserve">CAPM: safe return + beta × extra return for risk</t>
  </si>
  <si>
    <t xml:space="preserve">Tax rate</t>
  </si>
  <si>
    <t xml:space="preserve">After-tax cost of debt</t>
  </si>
  <si>
    <t xml:space="preserve">Interest is tax-deductible, so debt costs less after tax</t>
  </si>
  <si>
    <t xml:space="preserve">Share price (C$)</t>
  </si>
  <si>
    <t xml:space="preserve">Equity value (market cap)</t>
  </si>
  <si>
    <t xml:space="preserve">share price × shares</t>
  </si>
  <si>
    <t xml:space="preserve">Debt (excl. leases)</t>
  </si>
  <si>
    <t xml:space="preserve">Historicals, FY2025</t>
  </si>
  <si>
    <t xml:space="preserve">Total capital</t>
  </si>
  <si>
    <t xml:space="preserve">Equity weight</t>
  </si>
  <si>
    <t xml:space="preserve">Debt weight</t>
  </si>
  <si>
    <t xml:space="preserve">WACC</t>
  </si>
  <si>
    <t xml:space="preserve">Shows "-" until the market inputs are filled in</t>
  </si>
  <si>
    <t xml:space="preserve">DCF Valuation</t>
  </si>
  <si>
    <t xml:space="preserve">Values Stantec as of Dec 31, 2025, with each year's cash arriving at year-end.</t>
  </si>
  <si>
    <t xml:space="preserve">Inputs</t>
  </si>
  <si>
    <t xml:space="preserve">Cash</t>
  </si>
  <si>
    <t xml:space="preserve">Discounting</t>
  </si>
  <si>
    <t xml:space="preserve">Year number</t>
  </si>
  <si>
    <t xml:space="preserve">Discount factor = 1 ÷ (1 + WACC)^year</t>
  </si>
  <si>
    <t xml:space="preserve">PV of free cash flow</t>
  </si>
  <si>
    <t xml:space="preserve">Valuation</t>
  </si>
  <si>
    <t xml:space="preserve">Sum of PV of free cash flows</t>
  </si>
  <si>
    <t xml:space="preserve">Terminal value (at 2030)</t>
  </si>
  <si>
    <t xml:space="preserve">FCF 2030 × (1 + g) ÷ (WACC − g)</t>
  </si>
  <si>
    <t xml:space="preserve">PV of terminal value</t>
  </si>
  <si>
    <t xml:space="preserve">shrunk back five years</t>
  </si>
  <si>
    <t xml:space="preserve">Enterprise value</t>
  </si>
  <si>
    <t xml:space="preserve">value of the whole business</t>
  </si>
  <si>
    <t xml:space="preserve">Less: debt</t>
  </si>
  <si>
    <t xml:space="preserve">Plus: cash</t>
  </si>
  <si>
    <t xml:space="preserve">Equity value</t>
  </si>
  <si>
    <t xml:space="preserve">Value per share (C$)</t>
  </si>
  <si>
    <t xml:space="preserve">Upside / (downside)</t>
  </si>
  <si>
    <t xml:space="preserve">Terminal value as % of EV</t>
  </si>
  <si>
    <t xml:space="preserve">usually 60–80% for a steady company</t>
  </si>
  <si>
    <t xml:space="preserve">Sensitivity: value per share (C$)</t>
  </si>
  <si>
    <t xml:space="preserve">WACC ↓  g →</t>
  </si>
  <si>
    <t xml:space="preserve">Each cell reruns the full DCF at that WACC and growth rate. Find the cell closest to your WACC and 2.5% for your base case.</t>
  </si>
  <si>
    <t xml:space="preserve">Peer Comparison (EV/EBITDA)</t>
  </si>
  <si>
    <t xml:space="preserve">Take every multiple, and Stantec's EBITDA, from ONE source (Yahoo Finance Statistics tab or stockanalysis.com) so definitions match.</t>
  </si>
  <si>
    <t xml:space="preserve">Company</t>
  </si>
  <si>
    <t xml:space="preserve">Ticker</t>
  </si>
  <si>
    <t xml:space="preserve">EV/EBITDA</t>
  </si>
  <si>
    <t xml:space="preserve">WSP Global</t>
  </si>
  <si>
    <t xml:space="preserve">WSP (TSX)</t>
  </si>
  <si>
    <t xml:space="preserve">AECOM</t>
  </si>
  <si>
    <t xml:space="preserve">ACM (NYSE)</t>
  </si>
  <si>
    <t xml:space="preserve">Tetra Tech</t>
  </si>
  <si>
    <t xml:space="preserve">TTEK (NASDAQ)</t>
  </si>
  <si>
    <t xml:space="preserve">Jacobs</t>
  </si>
  <si>
    <t xml:space="preserve">J (NYSE)</t>
  </si>
  <si>
    <t xml:space="preserve">Peer median</t>
  </si>
  <si>
    <t xml:space="preserve">Median, so one unusual company doesn't skew it</t>
  </si>
  <si>
    <t xml:space="preserve">Stantec</t>
  </si>
  <si>
    <t xml:space="preserve">STN</t>
  </si>
  <si>
    <t xml:space="preserve">Stantec premium / (discount) to peers</t>
  </si>
  <si>
    <t xml:space="preserve">Stantec EBITDA, same source ($mm)</t>
  </si>
  <si>
    <t xml:space="preserve">Implied enterprise value</t>
  </si>
  <si>
    <t xml:space="preserve">peer median × Stantec EBITDA</t>
  </si>
  <si>
    <t xml:space="preserve">Implied equity value</t>
  </si>
  <si>
    <t xml:space="preserve">Implied value per share (C$)</t>
  </si>
  <si>
    <t xml:space="preserve">Stantec Inc. (TSX/NYSE: STN) — Valuation Summary</t>
  </si>
  <si>
    <t xml:space="preserve">Prepared by: Muhammad Ahsan · October 2, 2026</t>
  </si>
  <si>
    <t xml:space="preserve">DCF value per share (C$)</t>
  </si>
  <si>
    <t xml:space="preserve">Verdict</t>
  </si>
  <si>
    <t xml:space="preserve">Within ±10% of price = fairly valued</t>
  </si>
  <si>
    <t xml:space="preserve">Sensitivity range: low (C$)</t>
  </si>
  <si>
    <t xml:space="preserve">Sensitivity range: high (C$)</t>
  </si>
  <si>
    <t xml:space="preserve">Comps-implied value per share (C$)</t>
  </si>
  <si>
    <t xml:space="preserve">Key assumptions</t>
  </si>
  <si>
    <t xml:space="preserve">Net revenue growth, 2026 → 2030</t>
  </si>
  <si>
    <t xml:space="preserve">Admin &amp; marketing % of net revenue</t>
  </si>
  <si>
    <t xml:space="preserve">Terminal growth</t>
  </si>
  <si>
    <t xml:space="preserve">Why it could be worth more</t>
  </si>
  <si>
    <t xml:space="preserve">• Backlog of $8.6 billion at Dec 31, 2025, about 13 months of work already signed.</t>
  </si>
  <si>
    <t xml:space="preserve">• Margins improving: admin &amp; marketing fell from 39.0% to 37.8% of net revenue in 2025.</t>
  </si>
  <si>
    <t xml:space="preserve">• Strong cash conversion: 2025 operating cash flow of $862.9M vs. net income of $479.4M.</t>
  </si>
  <si>
    <t xml:space="preserve">• Modest debt: net debt to adjusted EBITDA of 1.3x, inside management's 1.0–2.0x range.</t>
  </si>
  <si>
    <t xml:space="preserve">Risks</t>
  </si>
  <si>
    <t xml:space="preserve">• About 52% of 2025 net revenue came from the US, so US spending and the exchange rate matter.</t>
  </si>
  <si>
    <t xml:space="preserve">• Growth relies partly on acquisitions (3.9 points of 2025's 10.7% growth), which must be integrated well.</t>
  </si>
  <si>
    <t xml:space="preserve">• Much of the work depends on public infrastructure budgets.</t>
  </si>
  <si>
    <t xml:space="preserve">Source for figures above: Stantec Q4 and full-year 2025 results release (Feb 25, 2026).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</si>
</sst>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;\(#,##0.0\);\-"/>
    <numFmt numFmtId="166" formatCode="0.0%;\(0.0%\);\-"/>
    <numFmt numFmtId="167" formatCode="0.0\x;\(0.0&quot;x)&quot;;\-"/>
    <numFmt numFmtId="168" formatCode="0;\(0\);\-"/>
    <numFmt numFmtId="169" formatCode="0.00"/>
    <numFmt numFmtId="170" formatCode="\$#,##0.00;&quot;($&quot;#,##0.00\);\-"/>
    <numFmt numFmtId="171" formatCode="0"/>
    <numFmt numFmtId="172" formatCode="0.000;\(0.000\);\-"/>
    <numFmt numFmtId="173" formatCode="0.00\x;\(0.00&quot;x)&quot;;\-"/>
    <numFmt numFmtId="174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10"/>
      <color rgb="FF0000FF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n">
        <v>1234.5</v>
      </c>
      <c r="B5" s="5" t="s">
        <v>3</v>
      </c>
    </row>
    <row r="6" customFormat="false" ht="15" hidden="false" customHeight="false" outlineLevel="0" collapsed="false">
      <c r="A6" s="6" t="n">
        <v>1234.5</v>
      </c>
      <c r="B6" s="5" t="s">
        <v>4</v>
      </c>
    </row>
    <row r="7" customFormat="false" ht="15" hidden="false" customHeight="false" outlineLevel="0" collapsed="false">
      <c r="A7" s="7" t="n">
        <v>1234.5</v>
      </c>
      <c r="B7" s="5" t="s">
        <v>5</v>
      </c>
    </row>
    <row r="8" customFormat="false" ht="15" hidden="false" customHeight="false" outlineLevel="0" collapsed="false">
      <c r="A8" s="8"/>
      <c r="B8" s="5" t="s">
        <v>6</v>
      </c>
    </row>
    <row r="10" customFormat="false" ht="15" hidden="false" customHeight="false" outlineLevel="0" collapsed="false">
      <c r="A10" s="3" t="s">
        <v>7</v>
      </c>
      <c r="B10" s="3"/>
    </row>
    <row r="11" customFormat="false" ht="15" hidden="false" customHeight="false" outlineLevel="0" collapsed="false">
      <c r="A11" s="4" t="n">
        <v>8144.2</v>
      </c>
      <c r="B11" s="5" t="s">
        <v>8</v>
      </c>
    </row>
    <row r="12" customFormat="false" ht="15" hidden="false" customHeight="false" outlineLevel="0" collapsed="false">
      <c r="A12" s="9" t="n">
        <v>0.24</v>
      </c>
      <c r="B12" s="5" t="s">
        <v>9</v>
      </c>
    </row>
    <row r="13" customFormat="false" ht="15" hidden="false" customHeight="false" outlineLevel="0" collapsed="false">
      <c r="A13" s="5" t="s">
        <v>10</v>
      </c>
      <c r="B13" s="5" t="s">
        <v>11</v>
      </c>
    </row>
    <row r="15" customFormat="false" ht="15" hidden="false" customHeight="false" outlineLevel="0" collapsed="false">
      <c r="A15" s="3" t="s">
        <v>12</v>
      </c>
      <c r="B15" s="3"/>
    </row>
    <row r="16" customFormat="false" ht="27.75" hidden="false" customHeight="true" outlineLevel="0" collapsed="false">
      <c r="A16" s="10" t="s">
        <v>13</v>
      </c>
      <c r="B16" s="11" t="s">
        <v>14</v>
      </c>
    </row>
    <row r="17" customFormat="false" ht="27.75" hidden="false" customHeight="true" outlineLevel="0" collapsed="false">
      <c r="A17" s="10" t="s">
        <v>15</v>
      </c>
      <c r="B17" s="11" t="s">
        <v>16</v>
      </c>
    </row>
    <row r="18" customFormat="false" ht="27.75" hidden="false" customHeight="true" outlineLevel="0" collapsed="false">
      <c r="A18" s="10" t="s">
        <v>17</v>
      </c>
      <c r="B18" s="11" t="s">
        <v>18</v>
      </c>
    </row>
    <row r="19" customFormat="false" ht="27.75" hidden="false" customHeight="true" outlineLevel="0" collapsed="false">
      <c r="A19" s="10" t="s">
        <v>19</v>
      </c>
      <c r="B19" s="11" t="s">
        <v>20</v>
      </c>
    </row>
    <row r="20" customFormat="false" ht="27.75" hidden="false" customHeight="true" outlineLevel="0" collapsed="false">
      <c r="A20" s="10" t="s">
        <v>21</v>
      </c>
      <c r="B20" s="11" t="s">
        <v>22</v>
      </c>
    </row>
    <row r="21" customFormat="false" ht="27.75" hidden="false" customHeight="true" outlineLevel="0" collapsed="false">
      <c r="A21" s="10" t="s">
        <v>23</v>
      </c>
      <c r="B21" s="11" t="s">
        <v>24</v>
      </c>
    </row>
    <row r="22" customFormat="false" ht="27.75" hidden="false" customHeight="true" outlineLevel="0" collapsed="false">
      <c r="A22" s="10" t="s">
        <v>25</v>
      </c>
      <c r="B22" s="11" t="s">
        <v>26</v>
      </c>
    </row>
    <row r="23" customFormat="false" ht="27.75" hidden="false" customHeight="true" outlineLevel="0" collapsed="false">
      <c r="A23" s="10" t="s">
        <v>27</v>
      </c>
      <c r="B23" s="11" t="s">
        <v>28</v>
      </c>
    </row>
    <row r="25" customFormat="false" ht="15" hidden="false" customHeight="false" outlineLevel="0" collapsed="false">
      <c r="A25" s="3" t="s">
        <v>29</v>
      </c>
      <c r="B25" s="3"/>
    </row>
    <row r="26" customFormat="false" ht="15" hidden="false" customHeight="false" outlineLevel="0" collapsed="false">
      <c r="B26" s="5" t="s">
        <v>30</v>
      </c>
    </row>
    <row r="27" customFormat="false" ht="15" hidden="false" customHeight="false" outlineLevel="0" collapsed="false">
      <c r="B27" s="5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43" activeCellId="0" sqref="E4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2"/>
    <col collapsed="false" customWidth="true" hidden="false" outlineLevel="0" max="5" min="5" style="0" width="90"/>
  </cols>
  <sheetData>
    <row r="1" customFormat="false" ht="18" hidden="false" customHeight="tru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3" t="s">
        <v>34</v>
      </c>
      <c r="B3" s="12" t="s">
        <v>35</v>
      </c>
      <c r="C3" s="12" t="s">
        <v>36</v>
      </c>
      <c r="D3" s="12" t="s">
        <v>37</v>
      </c>
      <c r="E3" s="3" t="s">
        <v>38</v>
      </c>
    </row>
    <row r="4" customFormat="false" ht="15" hidden="false" customHeight="false" outlineLevel="0" collapsed="false">
      <c r="A4" s="5" t="s">
        <v>39</v>
      </c>
      <c r="B4" s="4" t="n">
        <v>6479.6</v>
      </c>
      <c r="C4" s="4" t="n">
        <v>7500</v>
      </c>
      <c r="D4" s="4" t="n">
        <v>8144.2</v>
      </c>
      <c r="E4" s="2" t="s">
        <v>40</v>
      </c>
    </row>
    <row r="5" customFormat="false" ht="15" hidden="false" customHeight="false" outlineLevel="0" collapsed="false">
      <c r="A5" s="5" t="s">
        <v>41</v>
      </c>
      <c r="B5" s="4" t="n">
        <v>1413.4</v>
      </c>
      <c r="C5" s="4" t="n">
        <v>1633.4</v>
      </c>
      <c r="D5" s="4" t="n">
        <v>1649.4</v>
      </c>
      <c r="E5" s="2" t="s">
        <v>42</v>
      </c>
    </row>
    <row r="6" customFormat="false" ht="15" hidden="false" customHeight="false" outlineLevel="0" collapsed="false">
      <c r="A6" s="13" t="s">
        <v>43</v>
      </c>
      <c r="B6" s="14" t="n">
        <f aca="false">B4-B5</f>
        <v>5066.2</v>
      </c>
      <c r="C6" s="14" t="n">
        <f aca="false">C4-C5</f>
        <v>5866.6</v>
      </c>
      <c r="D6" s="14" t="n">
        <f aca="false">D4-D5</f>
        <v>6494.8</v>
      </c>
      <c r="E6" s="2" t="s">
        <v>44</v>
      </c>
    </row>
    <row r="7" customFormat="false" ht="15" hidden="false" customHeight="false" outlineLevel="0" collapsed="false">
      <c r="A7" s="5" t="s">
        <v>45</v>
      </c>
      <c r="B7" s="4" t="n">
        <v>2321.5</v>
      </c>
      <c r="C7" s="4" t="n">
        <v>2670.9</v>
      </c>
      <c r="D7" s="4" t="n">
        <v>2965.8</v>
      </c>
      <c r="E7" s="2" t="s">
        <v>40</v>
      </c>
    </row>
    <row r="8" customFormat="false" ht="15" hidden="false" customHeight="false" outlineLevel="0" collapsed="false">
      <c r="A8" s="13" t="s">
        <v>46</v>
      </c>
      <c r="B8" s="14" t="n">
        <f aca="false">B6-B7</f>
        <v>2744.7</v>
      </c>
      <c r="C8" s="14" t="n">
        <f aca="false">C6-C7</f>
        <v>3195.7</v>
      </c>
      <c r="D8" s="14" t="n">
        <f aca="false">D6-D7</f>
        <v>3529</v>
      </c>
      <c r="E8" s="2"/>
    </row>
    <row r="9" customFormat="false" ht="15" hidden="false" customHeight="false" outlineLevel="0" collapsed="false">
      <c r="A9" s="5" t="s">
        <v>47</v>
      </c>
      <c r="B9" s="4" t="n">
        <v>1965.3</v>
      </c>
      <c r="C9" s="4" t="n">
        <v>2286.1</v>
      </c>
      <c r="D9" s="4" t="n">
        <v>2457.5</v>
      </c>
      <c r="E9" s="2" t="s">
        <v>40</v>
      </c>
    </row>
    <row r="10" customFormat="false" ht="15" hidden="false" customHeight="false" outlineLevel="0" collapsed="false">
      <c r="A10" s="5" t="s">
        <v>48</v>
      </c>
      <c r="B10" s="4" t="n">
        <v>59.9</v>
      </c>
      <c r="C10" s="4" t="n">
        <v>67.7</v>
      </c>
      <c r="D10" s="4" t="n">
        <v>70.6</v>
      </c>
      <c r="E10" s="2" t="s">
        <v>40</v>
      </c>
    </row>
    <row r="11" customFormat="false" ht="15" hidden="false" customHeight="false" outlineLevel="0" collapsed="false">
      <c r="A11" s="5" t="s">
        <v>49</v>
      </c>
      <c r="B11" s="4" t="n">
        <v>121.7</v>
      </c>
      <c r="C11" s="4" t="n">
        <v>127.1</v>
      </c>
      <c r="D11" s="4" t="n">
        <v>133.6</v>
      </c>
      <c r="E11" s="2" t="s">
        <v>40</v>
      </c>
    </row>
    <row r="12" customFormat="false" ht="15" hidden="false" customHeight="false" outlineLevel="0" collapsed="false">
      <c r="A12" s="5" t="s">
        <v>50</v>
      </c>
      <c r="B12" s="4" t="n">
        <v>0.3</v>
      </c>
      <c r="C12" s="4" t="n">
        <v>34.9</v>
      </c>
      <c r="D12" s="4" t="n">
        <v>6</v>
      </c>
      <c r="E12" s="2" t="s">
        <v>40</v>
      </c>
    </row>
    <row r="13" customFormat="false" ht="15" hidden="false" customHeight="false" outlineLevel="0" collapsed="false">
      <c r="A13" s="5" t="s">
        <v>51</v>
      </c>
      <c r="B13" s="4" t="n">
        <v>102</v>
      </c>
      <c r="C13" s="4" t="n">
        <v>123.8</v>
      </c>
      <c r="D13" s="4" t="n">
        <v>147.5</v>
      </c>
      <c r="E13" s="2" t="s">
        <v>40</v>
      </c>
    </row>
    <row r="14" customFormat="false" ht="15" hidden="false" customHeight="false" outlineLevel="0" collapsed="false">
      <c r="A14" s="13" t="s">
        <v>52</v>
      </c>
      <c r="B14" s="14" t="n">
        <f aca="false">B8-SUM(B9:B13)</f>
        <v>495.500000000001</v>
      </c>
      <c r="C14" s="14" t="n">
        <f aca="false">C8-SUM(C9:C13)</f>
        <v>556.1</v>
      </c>
      <c r="D14" s="14" t="n">
        <f aca="false">D8-SUM(D9:D13)</f>
        <v>713.799999999999</v>
      </c>
      <c r="E14" s="2"/>
    </row>
    <row r="15" customFormat="false" ht="15" hidden="false" customHeight="false" outlineLevel="0" collapsed="false">
      <c r="A15" s="5" t="s">
        <v>53</v>
      </c>
      <c r="B15" s="4" t="n">
        <v>93</v>
      </c>
      <c r="C15" s="4" t="n">
        <v>104.4</v>
      </c>
      <c r="D15" s="4" t="n">
        <v>102</v>
      </c>
      <c r="E15" s="2" t="s">
        <v>40</v>
      </c>
    </row>
    <row r="16" customFormat="false" ht="15" hidden="false" customHeight="false" outlineLevel="0" collapsed="false">
      <c r="A16" s="5" t="s">
        <v>54</v>
      </c>
      <c r="B16" s="4" t="n">
        <v>5.2</v>
      </c>
      <c r="C16" s="4" t="n">
        <v>13.6</v>
      </c>
      <c r="D16" s="4" t="n">
        <v>18.2</v>
      </c>
      <c r="E16" s="2" t="s">
        <v>40</v>
      </c>
    </row>
    <row r="17" customFormat="false" ht="15" hidden="false" customHeight="false" outlineLevel="0" collapsed="false">
      <c r="A17" s="13" t="s">
        <v>55</v>
      </c>
      <c r="B17" s="14" t="n">
        <f aca="false">B14-B15+B16</f>
        <v>407.700000000001</v>
      </c>
      <c r="C17" s="14" t="n">
        <f aca="false">C14-C15+C16</f>
        <v>465.3</v>
      </c>
      <c r="D17" s="14" t="n">
        <f aca="false">D14-D15+D16</f>
        <v>629.999999999999</v>
      </c>
      <c r="E17" s="2"/>
    </row>
    <row r="18" customFormat="false" ht="15" hidden="false" customHeight="false" outlineLevel="0" collapsed="false">
      <c r="A18" s="5" t="s">
        <v>56</v>
      </c>
      <c r="B18" s="4" t="n">
        <v>91.2</v>
      </c>
      <c r="C18" s="4" t="n">
        <v>103.8</v>
      </c>
      <c r="D18" s="4" t="n">
        <v>150.6</v>
      </c>
      <c r="E18" s="2" t="s">
        <v>40</v>
      </c>
    </row>
    <row r="19" customFormat="false" ht="15" hidden="false" customHeight="false" outlineLevel="0" collapsed="false">
      <c r="A19" s="13" t="s">
        <v>57</v>
      </c>
      <c r="B19" s="14" t="n">
        <f aca="false">B17-B18</f>
        <v>316.500000000001</v>
      </c>
      <c r="C19" s="14" t="n">
        <f aca="false">C17-C18</f>
        <v>361.5</v>
      </c>
      <c r="D19" s="14" t="n">
        <f aca="false">D17-D18</f>
        <v>479.399999999999</v>
      </c>
      <c r="E19" s="2"/>
    </row>
    <row r="20" customFormat="false" ht="15" hidden="false" customHeight="false" outlineLevel="0" collapsed="false">
      <c r="A20" s="5" t="s">
        <v>58</v>
      </c>
      <c r="B20" s="4" t="n">
        <v>316.5</v>
      </c>
      <c r="C20" s="4" t="n">
        <v>361.5</v>
      </c>
      <c r="D20" s="4" t="n">
        <v>479.4</v>
      </c>
      <c r="E20" s="2" t="s">
        <v>59</v>
      </c>
    </row>
    <row r="21" customFormat="false" ht="15" hidden="false" customHeight="false" outlineLevel="0" collapsed="false">
      <c r="A21" s="10" t="s">
        <v>60</v>
      </c>
      <c r="B21" s="15" t="n">
        <f aca="false">B19-B20</f>
        <v>0</v>
      </c>
      <c r="C21" s="15" t="n">
        <f aca="false">C19-C20</f>
        <v>0</v>
      </c>
      <c r="D21" s="15" t="n">
        <f aca="false">D19-D20</f>
        <v>0</v>
      </c>
      <c r="E21" s="2" t="s">
        <v>61</v>
      </c>
    </row>
    <row r="23" customFormat="false" ht="15" hidden="false" customHeight="false" outlineLevel="0" collapsed="false">
      <c r="A23" s="3" t="s">
        <v>62</v>
      </c>
      <c r="B23" s="12" t="s">
        <v>35</v>
      </c>
      <c r="C23" s="12" t="s">
        <v>36</v>
      </c>
      <c r="D23" s="12" t="s">
        <v>37</v>
      </c>
      <c r="E23" s="3"/>
    </row>
    <row r="24" customFormat="false" ht="15" hidden="false" customHeight="false" outlineLevel="0" collapsed="false">
      <c r="A24" s="5" t="s">
        <v>63</v>
      </c>
      <c r="B24" s="4" t="n">
        <v>352.9</v>
      </c>
      <c r="C24" s="4" t="n">
        <v>228.5</v>
      </c>
      <c r="D24" s="4" t="n">
        <v>398.1</v>
      </c>
      <c r="E24" s="2" t="s">
        <v>64</v>
      </c>
    </row>
    <row r="25" customFormat="false" ht="15" hidden="false" customHeight="false" outlineLevel="0" collapsed="false">
      <c r="A25" s="5" t="s">
        <v>65</v>
      </c>
      <c r="B25" s="4" t="n">
        <v>1323.8</v>
      </c>
      <c r="C25" s="4" t="n">
        <v>1323.8</v>
      </c>
      <c r="D25" s="4" t="n">
        <v>1306.5</v>
      </c>
      <c r="E25" s="2" t="s">
        <v>66</v>
      </c>
    </row>
    <row r="26" customFormat="false" ht="15" hidden="false" customHeight="false" outlineLevel="0" collapsed="false">
      <c r="A26" s="5" t="s">
        <v>67</v>
      </c>
      <c r="B26" s="4" t="n">
        <v>712.6</v>
      </c>
      <c r="C26" s="4" t="n">
        <v>840.5</v>
      </c>
      <c r="D26" s="4" t="n">
        <v>872.8</v>
      </c>
      <c r="E26" s="2" t="s">
        <v>68</v>
      </c>
    </row>
    <row r="27" customFormat="false" ht="15" hidden="false" customHeight="false" outlineLevel="0" collapsed="false">
      <c r="A27" s="5" t="s">
        <v>69</v>
      </c>
      <c r="B27" s="4" t="n">
        <v>842.4</v>
      </c>
      <c r="C27" s="4" t="n">
        <v>1018.7</v>
      </c>
      <c r="D27" s="4" t="n">
        <v>1125.3</v>
      </c>
      <c r="E27" s="2" t="s">
        <v>68</v>
      </c>
    </row>
    <row r="28" customFormat="false" ht="15" hidden="false" customHeight="false" outlineLevel="0" collapsed="false">
      <c r="A28" s="5" t="s">
        <v>70</v>
      </c>
      <c r="B28" s="4" t="n">
        <v>397.5</v>
      </c>
      <c r="C28" s="4" t="n">
        <v>502.4</v>
      </c>
      <c r="D28" s="4" t="n">
        <v>581.7</v>
      </c>
      <c r="E28" s="2" t="s">
        <v>68</v>
      </c>
    </row>
    <row r="29" customFormat="false" ht="15" hidden="false" customHeight="false" outlineLevel="0" collapsed="false">
      <c r="A29" s="5" t="s">
        <v>71</v>
      </c>
      <c r="B29" s="4" t="n">
        <v>1098.2</v>
      </c>
      <c r="C29" s="4" t="n">
        <v>1383.5</v>
      </c>
      <c r="D29" s="4" t="n">
        <v>1818.3</v>
      </c>
      <c r="E29" s="2" t="s">
        <v>72</v>
      </c>
    </row>
    <row r="30" customFormat="false" ht="15" hidden="false" customHeight="false" outlineLevel="0" collapsed="false">
      <c r="A30" s="5" t="s">
        <v>73</v>
      </c>
      <c r="B30" s="4" t="n">
        <v>2451.1</v>
      </c>
      <c r="C30" s="4" t="n">
        <v>2945.1</v>
      </c>
      <c r="D30" s="4" t="n">
        <v>3240.4</v>
      </c>
      <c r="E30" s="2" t="s">
        <v>74</v>
      </c>
    </row>
    <row r="32" customFormat="false" ht="15" hidden="false" customHeight="false" outlineLevel="0" collapsed="false">
      <c r="A32" s="3" t="s">
        <v>75</v>
      </c>
      <c r="B32" s="12" t="s">
        <v>35</v>
      </c>
      <c r="C32" s="12" t="s">
        <v>36</v>
      </c>
      <c r="D32" s="12" t="s">
        <v>37</v>
      </c>
      <c r="E32" s="3"/>
    </row>
    <row r="33" customFormat="false" ht="15" hidden="false" customHeight="false" outlineLevel="0" collapsed="false">
      <c r="A33" s="5" t="s">
        <v>76</v>
      </c>
      <c r="B33" s="4" t="n">
        <v>520</v>
      </c>
      <c r="C33" s="4" t="n">
        <v>603.1</v>
      </c>
      <c r="D33" s="4" t="n">
        <v>862.9</v>
      </c>
      <c r="E33" s="2" t="s">
        <v>40</v>
      </c>
    </row>
    <row r="34" customFormat="false" ht="15" hidden="false" customHeight="false" outlineLevel="0" collapsed="false">
      <c r="A34" s="5" t="s">
        <v>77</v>
      </c>
      <c r="B34" s="4" t="n">
        <v>100.6</v>
      </c>
      <c r="C34" s="4" t="n">
        <v>99</v>
      </c>
      <c r="D34" s="4" t="n">
        <v>71.9</v>
      </c>
      <c r="E34" s="2" t="s">
        <v>78</v>
      </c>
    </row>
    <row r="35" customFormat="false" ht="15" hidden="false" customHeight="false" outlineLevel="0" collapsed="false">
      <c r="A35" s="5" t="s">
        <v>79</v>
      </c>
      <c r="B35" s="4" t="n">
        <v>75.6</v>
      </c>
      <c r="C35" s="4" t="n">
        <v>555</v>
      </c>
      <c r="D35" s="4" t="n">
        <v>454</v>
      </c>
      <c r="E35" s="2" t="s">
        <v>78</v>
      </c>
    </row>
    <row r="36" customFormat="false" ht="15" hidden="false" customHeight="false" outlineLevel="0" collapsed="false">
      <c r="A36" s="5" t="s">
        <v>80</v>
      </c>
      <c r="B36" s="4" t="n">
        <v>84.9</v>
      </c>
      <c r="C36" s="4" t="n">
        <v>94</v>
      </c>
      <c r="D36" s="4" t="n">
        <v>101</v>
      </c>
      <c r="E36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33" activeCellId="0" sqref="D3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2"/>
    <col collapsed="false" customWidth="true" hidden="false" outlineLevel="0" max="5" min="5" style="0" width="90"/>
  </cols>
  <sheetData>
    <row r="1" customFormat="false" ht="18" hidden="false" customHeight="tru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</row>
    <row r="3" customFormat="false" ht="15" hidden="false" customHeight="false" outlineLevel="0" collapsed="false">
      <c r="A3" s="3" t="s">
        <v>83</v>
      </c>
      <c r="B3" s="12" t="s">
        <v>35</v>
      </c>
      <c r="C3" s="12" t="s">
        <v>36</v>
      </c>
      <c r="D3" s="12" t="s">
        <v>37</v>
      </c>
      <c r="E3" s="3" t="s">
        <v>84</v>
      </c>
    </row>
    <row r="4" customFormat="false" ht="15" hidden="false" customHeight="false" outlineLevel="0" collapsed="false">
      <c r="A4" s="5" t="s">
        <v>85</v>
      </c>
      <c r="B4" s="16" t="s">
        <v>86</v>
      </c>
      <c r="C4" s="17" t="n">
        <f aca="false">IF(Historicals!B6=0,0,Historicals!C6/Historicals!B6-1)</f>
        <v>0.157988235758557</v>
      </c>
      <c r="D4" s="17" t="n">
        <f aca="false">IF(Historicals!C6=0,0,Historicals!D6/Historicals!C6-1)</f>
        <v>0.107080762281389</v>
      </c>
      <c r="E4" s="2" t="s">
        <v>87</v>
      </c>
    </row>
    <row r="5" customFormat="false" ht="15" hidden="false" customHeight="false" outlineLevel="0" collapsed="false">
      <c r="A5" s="5" t="s">
        <v>88</v>
      </c>
      <c r="B5" s="17" t="n">
        <f aca="false">IF(Historicals!B6=0,0,Historicals!B8/Historicals!B6)</f>
        <v>0.541767004855711</v>
      </c>
      <c r="C5" s="17" t="n">
        <f aca="false">IF(Historicals!C6=0,0,Historicals!C8/Historicals!C6)</f>
        <v>0.544727780997511</v>
      </c>
      <c r="D5" s="17" t="n">
        <f aca="false">IF(Historicals!D6=0,0,Historicals!D8/Historicals!D6)</f>
        <v>0.543357763133584</v>
      </c>
      <c r="E5" s="2" t="s">
        <v>89</v>
      </c>
    </row>
    <row r="6" customFormat="false" ht="15" hidden="false" customHeight="false" outlineLevel="0" collapsed="false">
      <c r="A6" s="5" t="s">
        <v>90</v>
      </c>
      <c r="B6" s="17" t="n">
        <f aca="false">IF(Historicals!B6=0,0,Historicals!B9/Historicals!B6)</f>
        <v>0.387923887726501</v>
      </c>
      <c r="C6" s="17" t="n">
        <f aca="false">IF(Historicals!C6=0,0,Historicals!C9/Historicals!C6)</f>
        <v>0.38968056455187</v>
      </c>
      <c r="D6" s="17" t="n">
        <f aca="false">IF(Historicals!D6=0,0,Historicals!D9/Historicals!D6)</f>
        <v>0.378379626778346</v>
      </c>
      <c r="E6" s="2" t="s">
        <v>91</v>
      </c>
    </row>
    <row r="7" customFormat="false" ht="15" hidden="false" customHeight="false" outlineLevel="0" collapsed="false">
      <c r="A7" s="5" t="s">
        <v>92</v>
      </c>
      <c r="B7" s="17" t="n">
        <f aca="false">IF(Historicals!B6=0,0,Historicals!B10/Historicals!B6)</f>
        <v>0.0118234574237101</v>
      </c>
      <c r="C7" s="17" t="n">
        <f aca="false">IF(Historicals!C6=0,0,Historicals!C10/Historicals!C6)</f>
        <v>0.0115399038625439</v>
      </c>
      <c r="D7" s="17" t="n">
        <f aca="false">IF(Historicals!D6=0,0,Historicals!D10/Historicals!D6)</f>
        <v>0.0108702346492579</v>
      </c>
      <c r="E7" s="2" t="s">
        <v>93</v>
      </c>
    </row>
    <row r="8" customFormat="false" ht="15" hidden="false" customHeight="false" outlineLevel="0" collapsed="false">
      <c r="A8" s="5" t="s">
        <v>94</v>
      </c>
      <c r="B8" s="17" t="n">
        <f aca="false">IF(Historicals!B6=0,0,Historicals!B11/Historicals!B6)</f>
        <v>0.0240219493900754</v>
      </c>
      <c r="C8" s="17" t="n">
        <f aca="false">IF(Historicals!C6=0,0,Historicals!C11/Historicals!C6)</f>
        <v>0.0216650189206696</v>
      </c>
      <c r="D8" s="17" t="n">
        <f aca="false">IF(Historicals!D6=0,0,Historicals!D11/Historicals!D6)</f>
        <v>0.0205703023957628</v>
      </c>
      <c r="E8" s="2" t="s">
        <v>93</v>
      </c>
    </row>
    <row r="9" customFormat="false" ht="15" hidden="false" customHeight="false" outlineLevel="0" collapsed="false">
      <c r="A9" s="5" t="s">
        <v>95</v>
      </c>
      <c r="B9" s="17" t="n">
        <f aca="false">IF(Historicals!B6=0,0,Historicals!B13/Historicals!B6)</f>
        <v>0.0201334333425447</v>
      </c>
      <c r="C9" s="17" t="n">
        <f aca="false">IF(Historicals!C6=0,0,Historicals!C13/Historicals!C6)</f>
        <v>0.0211025125285515</v>
      </c>
      <c r="D9" s="17" t="n">
        <f aca="false">IF(Historicals!D6=0,0,Historicals!D13/Historicals!D6)</f>
        <v>0.0227104760731662</v>
      </c>
      <c r="E9" s="2" t="s">
        <v>93</v>
      </c>
    </row>
    <row r="10" customFormat="false" ht="15" hidden="false" customHeight="false" outlineLevel="0" collapsed="false">
      <c r="A10" s="5" t="s">
        <v>96</v>
      </c>
      <c r="B10" s="17" t="n">
        <f aca="false">IF(Historicals!B6=0,0,Historicals!B14/Historicals!B6)</f>
        <v>0.09780506099246</v>
      </c>
      <c r="C10" s="17" t="n">
        <f aca="false">IF(Historicals!C6=0,0,Historicals!C14/Historicals!C6)</f>
        <v>0.0947908498960216</v>
      </c>
      <c r="D10" s="17" t="n">
        <f aca="false">IF(Historicals!D6=0,0,Historicals!D14/Historicals!D6)</f>
        <v>0.109903307261193</v>
      </c>
      <c r="E10" s="2" t="s">
        <v>97</v>
      </c>
    </row>
    <row r="11" customFormat="false" ht="15" hidden="false" customHeight="false" outlineLevel="0" collapsed="false">
      <c r="A11" s="5" t="s">
        <v>98</v>
      </c>
      <c r="B11" s="6" t="n">
        <f aca="false">Historicals!B14+Historicals!B10+Historicals!B13</f>
        <v>657.400000000001</v>
      </c>
      <c r="C11" s="6" t="n">
        <f aca="false">Historicals!C14+Historicals!C10+Historicals!C13</f>
        <v>747.6</v>
      </c>
      <c r="D11" s="6" t="n">
        <f aca="false">Historicals!D14+Historicals!D10+Historicals!D13</f>
        <v>931.899999999999</v>
      </c>
      <c r="E11" s="2" t="s">
        <v>99</v>
      </c>
    </row>
    <row r="12" customFormat="false" ht="15" hidden="false" customHeight="false" outlineLevel="0" collapsed="false">
      <c r="A12" s="5" t="s">
        <v>100</v>
      </c>
      <c r="B12" s="17" t="n">
        <f aca="false">IF(Historicals!B6=0,0,B11/Historicals!B6)</f>
        <v>0.129761951758715</v>
      </c>
      <c r="C12" s="17" t="n">
        <f aca="false">IF(Historicals!C6=0,0,C11/Historicals!C6)</f>
        <v>0.127433266287117</v>
      </c>
      <c r="D12" s="17" t="n">
        <f aca="false">IF(Historicals!D6=0,0,D11/Historicals!D6)</f>
        <v>0.143484017983618</v>
      </c>
      <c r="E12" s="2" t="s">
        <v>101</v>
      </c>
    </row>
    <row r="13" customFormat="false" ht="15" hidden="false" customHeight="false" outlineLevel="0" collapsed="false">
      <c r="A13" s="5" t="s">
        <v>102</v>
      </c>
      <c r="B13" s="17" t="n">
        <f aca="false">IF(Historicals!B6=0,0,Historicals!B19/Historicals!B6)</f>
        <v>0.062472859342308</v>
      </c>
      <c r="C13" s="17" t="n">
        <f aca="false">IF(Historicals!C6=0,0,Historicals!C19/Historicals!C6)</f>
        <v>0.0616200184093002</v>
      </c>
      <c r="D13" s="17" t="n">
        <f aca="false">IF(Historicals!D6=0,0,Historicals!D19/Historicals!D6)</f>
        <v>0.0738128964710229</v>
      </c>
      <c r="E13" s="2" t="s">
        <v>103</v>
      </c>
    </row>
    <row r="14" customFormat="false" ht="15" hidden="false" customHeight="false" outlineLevel="0" collapsed="false">
      <c r="A14" s="5" t="s">
        <v>104</v>
      </c>
      <c r="B14" s="17" t="n">
        <f aca="false">IF(Historicals!B17=0,0,Historicals!B18/Historicals!B17)</f>
        <v>0.223693892568064</v>
      </c>
      <c r="C14" s="17" t="n">
        <f aca="false">IF(Historicals!C17=0,0,Historicals!C18/Historicals!C17)</f>
        <v>0.223081882656351</v>
      </c>
      <c r="D14" s="17" t="n">
        <f aca="false">IF(Historicals!D17=0,0,Historicals!D18/Historicals!D17)</f>
        <v>0.239047619047619</v>
      </c>
      <c r="E14" s="2" t="s">
        <v>105</v>
      </c>
    </row>
    <row r="15" customFormat="false" ht="15" hidden="false" customHeight="false" outlineLevel="0" collapsed="false">
      <c r="A15" s="5" t="s">
        <v>106</v>
      </c>
      <c r="B15" s="17" t="n">
        <f aca="false">IF(Historicals!B6=0,0,Historicals!B34/Historicals!B6)</f>
        <v>0.0198570921005882</v>
      </c>
      <c r="C15" s="17" t="n">
        <f aca="false">IF(Historicals!C6=0,0,Historicals!C34/Historicals!C6)</f>
        <v>0.0168751917635428</v>
      </c>
      <c r="D15" s="17" t="n">
        <f aca="false">IF(Historicals!D6=0,0,Historicals!D34/Historicals!D6)</f>
        <v>0.0110703947773604</v>
      </c>
      <c r="E15" s="2" t="s">
        <v>107</v>
      </c>
    </row>
    <row r="16" customFormat="false" ht="15" hidden="false" customHeight="false" outlineLevel="0" collapsed="false">
      <c r="A16" s="5" t="s">
        <v>108</v>
      </c>
      <c r="B16" s="18" t="n">
        <f aca="false">IF(Historicals!B19=0,0,Historicals!B33/Historicals!B19)</f>
        <v>1.64296998420221</v>
      </c>
      <c r="C16" s="18" t="n">
        <f aca="false">IF(Historicals!C19=0,0,Historicals!C33/Historicals!C19)</f>
        <v>1.66832641770401</v>
      </c>
      <c r="D16" s="18" t="n">
        <f aca="false">IF(Historicals!D19=0,0,Historicals!D33/Historicals!D19)</f>
        <v>1.79995828118482</v>
      </c>
      <c r="E16" s="2" t="s">
        <v>109</v>
      </c>
    </row>
    <row r="17" customFormat="false" ht="15" hidden="false" customHeight="false" outlineLevel="0" collapsed="false">
      <c r="A17" s="5" t="s">
        <v>110</v>
      </c>
      <c r="B17" s="6" t="n">
        <f aca="false">Historicals!B29-Historicals!B24</f>
        <v>745.3</v>
      </c>
      <c r="C17" s="6" t="n">
        <f aca="false">Historicals!C29-Historicals!C24</f>
        <v>1155</v>
      </c>
      <c r="D17" s="6" t="n">
        <f aca="false">Historicals!D29-Historicals!D24</f>
        <v>1420.2</v>
      </c>
      <c r="E17" s="2" t="s">
        <v>111</v>
      </c>
    </row>
    <row r="18" customFormat="false" ht="15" hidden="false" customHeight="false" outlineLevel="0" collapsed="false">
      <c r="A18" s="5" t="s">
        <v>112</v>
      </c>
      <c r="B18" s="18" t="n">
        <f aca="false">IF(B11=0,0,B17/B11)</f>
        <v>1.13370854882872</v>
      </c>
      <c r="C18" s="18" t="n">
        <f aca="false">IF(C11=0,0,C17/C11)</f>
        <v>1.54494382022472</v>
      </c>
      <c r="D18" s="18" t="n">
        <f aca="false">IF(D11=0,0,D17/D11)</f>
        <v>1.52398326000644</v>
      </c>
      <c r="E18" s="2" t="s">
        <v>113</v>
      </c>
    </row>
    <row r="19" customFormat="false" ht="15" hidden="false" customHeight="false" outlineLevel="0" collapsed="false">
      <c r="A19" s="5" t="s">
        <v>114</v>
      </c>
      <c r="B19" s="19" t="n">
        <f aca="false">IF(Historicals!B4=0,0,(Historicals!B25+Historicals!B26-Historicals!B28)/Historicals!B4*365)</f>
        <v>92.32028211618</v>
      </c>
      <c r="C19" s="19" t="n">
        <f aca="false">IF(Historicals!C4=0,0,(Historicals!C25+Historicals!C26-Historicals!C28)/Historicals!C4*365)</f>
        <v>80.8791333333333</v>
      </c>
      <c r="D19" s="19" t="n">
        <f aca="false">IF(Historicals!D4=0,0,(Historicals!D25+Historicals!D26-Historicals!D28)/Historicals!D4*365)</f>
        <v>71.5999115935267</v>
      </c>
      <c r="E19" s="2" t="s">
        <v>115</v>
      </c>
    </row>
    <row r="20" customFormat="false" ht="15" hidden="false" customHeight="false" outlineLevel="0" collapsed="false">
      <c r="A20" s="5" t="s">
        <v>116</v>
      </c>
      <c r="B20" s="6" t="n">
        <f aca="false">Historicals!B25+Historicals!B26-Historicals!B27-Historicals!B28</f>
        <v>796.5</v>
      </c>
      <c r="C20" s="6" t="n">
        <f aca="false">Historicals!C25+Historicals!C26-Historicals!C27-Historicals!C28</f>
        <v>643.2</v>
      </c>
      <c r="D20" s="6" t="n">
        <f aca="false">Historicals!D25+Historicals!D26-Historicals!D27-Historicals!D28</f>
        <v>472.3</v>
      </c>
      <c r="E20" s="2" t="s">
        <v>117</v>
      </c>
    </row>
    <row r="21" customFormat="false" ht="15" hidden="false" customHeight="false" outlineLevel="0" collapsed="false">
      <c r="A21" s="5" t="s">
        <v>118</v>
      </c>
      <c r="B21" s="17" t="n">
        <f aca="false">IF(Historicals!B6=0,0,B20/Historicals!B6)</f>
        <v>0.157218428013106</v>
      </c>
      <c r="C21" s="17" t="n">
        <f aca="false">IF(Historicals!C6=0,0,C20/Historicals!C6)</f>
        <v>0.10963760951829</v>
      </c>
      <c r="D21" s="17" t="n">
        <f aca="false">IF(Historicals!D6=0,0,D20/Historicals!D6)</f>
        <v>0.0727197142329248</v>
      </c>
      <c r="E21" s="2" t="s">
        <v>119</v>
      </c>
    </row>
    <row r="22" customFormat="false" ht="15" hidden="false" customHeight="false" outlineLevel="0" collapsed="false">
      <c r="A22" s="5" t="s">
        <v>120</v>
      </c>
      <c r="B22" s="16" t="s">
        <v>86</v>
      </c>
      <c r="C22" s="17" t="n">
        <f aca="false">IF((Historicals!B30+Historicals!C30)=0,0,Historicals!C19/((Historicals!B30+Historicals!C30)/2))</f>
        <v>0.133983173344205</v>
      </c>
      <c r="D22" s="17" t="n">
        <f aca="false">IF((Historicals!C30+Historicals!D30)=0,0,Historicals!D19/((Historicals!C30+Historicals!D30)/2))</f>
        <v>0.155007679249858</v>
      </c>
      <c r="E22" s="2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27" activeCellId="0" sqref="C27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1"/>
    <col collapsed="false" customWidth="true" hidden="false" outlineLevel="0" max="7" min="7" style="0" width="100"/>
  </cols>
  <sheetData>
    <row r="1" customFormat="false" ht="18" hidden="false" customHeight="tru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3" customFormat="false" ht="15" hidden="false" customHeight="false" outlineLevel="0" collapsed="false">
      <c r="A3" s="3" t="s">
        <v>124</v>
      </c>
      <c r="B3" s="12" t="s">
        <v>125</v>
      </c>
      <c r="C3" s="12" t="s">
        <v>126</v>
      </c>
      <c r="D3" s="12" t="s">
        <v>127</v>
      </c>
      <c r="E3" s="12" t="s">
        <v>128</v>
      </c>
      <c r="F3" s="12" t="s">
        <v>129</v>
      </c>
      <c r="G3" s="3" t="s">
        <v>130</v>
      </c>
    </row>
    <row r="4" customFormat="false" ht="15" hidden="false" customHeight="false" outlineLevel="0" collapsed="false">
      <c r="A4" s="5" t="s">
        <v>85</v>
      </c>
      <c r="B4" s="9" t="n">
        <v>0.1</v>
      </c>
      <c r="C4" s="9" t="n">
        <v>0.08</v>
      </c>
      <c r="D4" s="9" t="n">
        <v>0.07</v>
      </c>
      <c r="E4" s="9" t="n">
        <v>0.06</v>
      </c>
      <c r="F4" s="9" t="n">
        <v>0.05</v>
      </c>
      <c r="G4" s="2" t="s">
        <v>131</v>
      </c>
    </row>
    <row r="5" customFormat="false" ht="15" hidden="false" customHeight="false" outlineLevel="0" collapsed="false">
      <c r="A5" s="5" t="s">
        <v>88</v>
      </c>
      <c r="B5" s="9" t="n">
        <v>0.543</v>
      </c>
      <c r="C5" s="17" t="n">
        <f aca="false">B5</f>
        <v>0.543</v>
      </c>
      <c r="D5" s="17" t="n">
        <f aca="false">C5</f>
        <v>0.543</v>
      </c>
      <c r="E5" s="17" t="n">
        <f aca="false">D5</f>
        <v>0.543</v>
      </c>
      <c r="F5" s="17" t="n">
        <f aca="false">E5</f>
        <v>0.543</v>
      </c>
      <c r="G5" s="2" t="s">
        <v>132</v>
      </c>
    </row>
    <row r="6" customFormat="false" ht="15" hidden="false" customHeight="false" outlineLevel="0" collapsed="false">
      <c r="A6" s="5" t="s">
        <v>90</v>
      </c>
      <c r="B6" s="9" t="n">
        <v>0.375</v>
      </c>
      <c r="C6" s="17" t="n">
        <f aca="false">B6</f>
        <v>0.375</v>
      </c>
      <c r="D6" s="17" t="n">
        <f aca="false">C6</f>
        <v>0.375</v>
      </c>
      <c r="E6" s="17" t="n">
        <f aca="false">D6</f>
        <v>0.375</v>
      </c>
      <c r="F6" s="17" t="n">
        <f aca="false">E6</f>
        <v>0.375</v>
      </c>
      <c r="G6" s="2" t="s">
        <v>133</v>
      </c>
    </row>
    <row r="7" customFormat="false" ht="15" hidden="false" customHeight="false" outlineLevel="0" collapsed="false">
      <c r="A7" s="5" t="s">
        <v>92</v>
      </c>
      <c r="B7" s="9" t="n">
        <v>0.011</v>
      </c>
      <c r="C7" s="17" t="n">
        <f aca="false">B7</f>
        <v>0.011</v>
      </c>
      <c r="D7" s="17" t="n">
        <f aca="false">C7</f>
        <v>0.011</v>
      </c>
      <c r="E7" s="17" t="n">
        <f aca="false">D7</f>
        <v>0.011</v>
      </c>
      <c r="F7" s="17" t="n">
        <f aca="false">E7</f>
        <v>0.011</v>
      </c>
      <c r="G7" s="2" t="s">
        <v>134</v>
      </c>
    </row>
    <row r="8" customFormat="false" ht="15" hidden="false" customHeight="false" outlineLevel="0" collapsed="false">
      <c r="A8" s="5" t="s">
        <v>94</v>
      </c>
      <c r="B8" s="9" t="n">
        <v>0.02</v>
      </c>
      <c r="C8" s="17" t="n">
        <f aca="false">B8</f>
        <v>0.02</v>
      </c>
      <c r="D8" s="17" t="n">
        <f aca="false">C8</f>
        <v>0.02</v>
      </c>
      <c r="E8" s="17" t="n">
        <f aca="false">D8</f>
        <v>0.02</v>
      </c>
      <c r="F8" s="17" t="n">
        <f aca="false">E8</f>
        <v>0.02</v>
      </c>
      <c r="G8" s="2" t="s">
        <v>135</v>
      </c>
    </row>
    <row r="9" customFormat="false" ht="15" hidden="false" customHeight="false" outlineLevel="0" collapsed="false">
      <c r="A9" s="5" t="s">
        <v>136</v>
      </c>
      <c r="B9" s="9" t="n">
        <v>0.023</v>
      </c>
      <c r="C9" s="17" t="n">
        <f aca="false">B9</f>
        <v>0.023</v>
      </c>
      <c r="D9" s="17" t="n">
        <f aca="false">C9</f>
        <v>0.023</v>
      </c>
      <c r="E9" s="17" t="n">
        <f aca="false">D9</f>
        <v>0.023</v>
      </c>
      <c r="F9" s="17" t="n">
        <f aca="false">E9</f>
        <v>0.023</v>
      </c>
      <c r="G9" s="2" t="s">
        <v>137</v>
      </c>
    </row>
    <row r="10" customFormat="false" ht="15" hidden="false" customHeight="false" outlineLevel="0" collapsed="false">
      <c r="A10" s="5" t="s">
        <v>138</v>
      </c>
      <c r="B10" s="9" t="n">
        <v>0.24</v>
      </c>
      <c r="C10" s="17" t="n">
        <f aca="false">B10</f>
        <v>0.24</v>
      </c>
      <c r="D10" s="17" t="n">
        <f aca="false">C10</f>
        <v>0.24</v>
      </c>
      <c r="E10" s="17" t="n">
        <f aca="false">D10</f>
        <v>0.24</v>
      </c>
      <c r="F10" s="17" t="n">
        <f aca="false">E10</f>
        <v>0.24</v>
      </c>
      <c r="G10" s="2" t="s">
        <v>139</v>
      </c>
    </row>
    <row r="11" customFormat="false" ht="15" hidden="false" customHeight="false" outlineLevel="0" collapsed="false">
      <c r="A11" s="5" t="s">
        <v>106</v>
      </c>
      <c r="B11" s="9" t="n">
        <v>0.016</v>
      </c>
      <c r="C11" s="17" t="n">
        <f aca="false">B11</f>
        <v>0.016</v>
      </c>
      <c r="D11" s="17" t="n">
        <f aca="false">C11</f>
        <v>0.016</v>
      </c>
      <c r="E11" s="17" t="n">
        <f aca="false">D11</f>
        <v>0.016</v>
      </c>
      <c r="F11" s="17" t="n">
        <f aca="false">E11</f>
        <v>0.016</v>
      </c>
      <c r="G11" s="2" t="s">
        <v>140</v>
      </c>
    </row>
    <row r="12" customFormat="false" ht="15" hidden="false" customHeight="false" outlineLevel="0" collapsed="false">
      <c r="A12" s="5" t="s">
        <v>118</v>
      </c>
      <c r="B12" s="20" t="n">
        <f aca="false">Ratios!D21</f>
        <v>0.0727197142329248</v>
      </c>
      <c r="C12" s="17" t="n">
        <f aca="false">B12</f>
        <v>0.0727197142329248</v>
      </c>
      <c r="D12" s="17" t="n">
        <f aca="false">C12</f>
        <v>0.0727197142329248</v>
      </c>
      <c r="E12" s="17" t="n">
        <f aca="false">D12</f>
        <v>0.0727197142329248</v>
      </c>
      <c r="F12" s="17" t="n">
        <f aca="false">E12</f>
        <v>0.0727197142329248</v>
      </c>
      <c r="G12" s="2" t="s">
        <v>141</v>
      </c>
    </row>
    <row r="14" customFormat="false" ht="15" hidden="false" customHeight="false" outlineLevel="0" collapsed="false">
      <c r="A14" s="3" t="s">
        <v>142</v>
      </c>
      <c r="B14" s="3" t="s">
        <v>143</v>
      </c>
      <c r="C14" s="3"/>
      <c r="D14" s="3"/>
      <c r="E14" s="3"/>
      <c r="F14" s="3"/>
      <c r="G14" s="3" t="s">
        <v>144</v>
      </c>
    </row>
    <row r="15" customFormat="false" ht="15" hidden="false" customHeight="false" outlineLevel="0" collapsed="false">
      <c r="A15" s="5" t="s">
        <v>145</v>
      </c>
      <c r="B15" s="9" t="n">
        <v>0.025</v>
      </c>
      <c r="G15" s="2" t="s">
        <v>146</v>
      </c>
    </row>
    <row r="16" customFormat="false" ht="15" hidden="false" customHeight="false" outlineLevel="0" collapsed="false">
      <c r="A16" s="5" t="s">
        <v>147</v>
      </c>
      <c r="B16" s="9" t="n">
        <v>0.055</v>
      </c>
      <c r="G16" s="2" t="s">
        <v>148</v>
      </c>
    </row>
    <row r="17" customFormat="false" ht="15" hidden="false" customHeight="false" outlineLevel="0" collapsed="false">
      <c r="A17" s="5" t="s">
        <v>149</v>
      </c>
      <c r="B17" s="9" t="n">
        <v>0.05</v>
      </c>
      <c r="G17" s="2" t="s">
        <v>150</v>
      </c>
    </row>
    <row r="18" customFormat="false" ht="15" hidden="false" customHeight="false" outlineLevel="0" collapsed="false">
      <c r="A18" s="5" t="s">
        <v>151</v>
      </c>
      <c r="B18" s="4" t="n">
        <v>114.1</v>
      </c>
      <c r="G18" s="2" t="s">
        <v>152</v>
      </c>
    </row>
    <row r="19" customFormat="false" ht="15" hidden="false" customHeight="false" outlineLevel="0" collapsed="false">
      <c r="A19" s="3" t="s">
        <v>153</v>
      </c>
      <c r="B19" s="3" t="s">
        <v>143</v>
      </c>
      <c r="C19" s="3"/>
      <c r="D19" s="3"/>
      <c r="E19" s="3"/>
      <c r="F19" s="3"/>
      <c r="G19" s="3" t="s">
        <v>154</v>
      </c>
    </row>
    <row r="20" customFormat="false" ht="15" hidden="false" customHeight="false" outlineLevel="0" collapsed="false">
      <c r="A20" s="5" t="s">
        <v>155</v>
      </c>
      <c r="B20" s="21" t="n">
        <v>0.0395</v>
      </c>
      <c r="G20" s="2" t="s">
        <v>156</v>
      </c>
    </row>
    <row r="21" customFormat="false" ht="15" hidden="false" customHeight="false" outlineLevel="0" collapsed="false">
      <c r="A21" s="5" t="s">
        <v>157</v>
      </c>
      <c r="B21" s="22" t="n">
        <v>0.72</v>
      </c>
      <c r="G21" s="2" t="s">
        <v>158</v>
      </c>
    </row>
    <row r="22" customFormat="false" ht="15" hidden="false" customHeight="false" outlineLevel="0" collapsed="false">
      <c r="A22" s="5" t="s">
        <v>159</v>
      </c>
      <c r="B22" s="23" t="n">
        <v>96.25</v>
      </c>
      <c r="G22" s="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5" activeCellId="0" sqref="B5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2"/>
  </cols>
  <sheetData>
    <row r="1" customFormat="false" ht="18" hidden="false" customHeight="tru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3" customFormat="false" ht="15" hidden="false" customHeight="false" outlineLevel="0" collapsed="false">
      <c r="A3" s="3" t="s">
        <v>163</v>
      </c>
      <c r="B3" s="12" t="s">
        <v>164</v>
      </c>
      <c r="C3" s="12" t="s">
        <v>165</v>
      </c>
      <c r="D3" s="12" t="s">
        <v>166</v>
      </c>
      <c r="E3" s="12" t="s">
        <v>167</v>
      </c>
      <c r="F3" s="12" t="s">
        <v>168</v>
      </c>
      <c r="G3" s="12" t="s">
        <v>169</v>
      </c>
    </row>
    <row r="4" customFormat="false" ht="15" hidden="false" customHeight="false" outlineLevel="0" collapsed="false">
      <c r="A4" s="5" t="s">
        <v>85</v>
      </c>
      <c r="B4" s="20" t="n">
        <f aca="false">Ratios!D4</f>
        <v>0.107080762281389</v>
      </c>
      <c r="C4" s="17" t="n">
        <f aca="false">Assumptions!B4</f>
        <v>0.1</v>
      </c>
      <c r="D4" s="17" t="n">
        <f aca="false">Assumptions!C4</f>
        <v>0.08</v>
      </c>
      <c r="E4" s="17" t="n">
        <f aca="false">Assumptions!D4</f>
        <v>0.07</v>
      </c>
      <c r="F4" s="17" t="n">
        <f aca="false">Assumptions!E4</f>
        <v>0.06</v>
      </c>
      <c r="G4" s="17" t="n">
        <f aca="false">Assumptions!F4</f>
        <v>0.05</v>
      </c>
    </row>
    <row r="5" customFormat="false" ht="15" hidden="false" customHeight="false" outlineLevel="0" collapsed="false">
      <c r="A5" s="10" t="s">
        <v>43</v>
      </c>
      <c r="B5" s="24" t="n">
        <f aca="false">Historicals!D6</f>
        <v>6494.8</v>
      </c>
      <c r="C5" s="15" t="n">
        <f aca="false">B5*(1+C4)</f>
        <v>7144.28</v>
      </c>
      <c r="D5" s="15" t="n">
        <f aca="false">C5*(1+D4)</f>
        <v>7715.8224</v>
      </c>
      <c r="E5" s="15" t="n">
        <f aca="false">D5*(1+E4)</f>
        <v>8255.929968</v>
      </c>
      <c r="F5" s="15" t="n">
        <f aca="false">E5*(1+F4)</f>
        <v>8751.28576608</v>
      </c>
      <c r="G5" s="15" t="n">
        <f aca="false">F5*(1+G4)</f>
        <v>9188.850054384</v>
      </c>
    </row>
    <row r="6" customFormat="false" ht="15" hidden="false" customHeight="false" outlineLevel="0" collapsed="false">
      <c r="A6" s="5" t="s">
        <v>46</v>
      </c>
      <c r="B6" s="7" t="n">
        <f aca="false">Historicals!D8</f>
        <v>3529</v>
      </c>
      <c r="C6" s="6" t="n">
        <f aca="false">C5*Assumptions!B5</f>
        <v>3879.34404</v>
      </c>
      <c r="D6" s="6" t="n">
        <f aca="false">D5*Assumptions!C5</f>
        <v>4189.6915632</v>
      </c>
      <c r="E6" s="6" t="n">
        <f aca="false">E5*Assumptions!D5</f>
        <v>4482.969972624</v>
      </c>
      <c r="F6" s="6" t="n">
        <f aca="false">F5*Assumptions!E5</f>
        <v>4751.94817098144</v>
      </c>
      <c r="G6" s="6" t="n">
        <f aca="false">G5*Assumptions!F5</f>
        <v>4989.54557953051</v>
      </c>
    </row>
    <row r="7" customFormat="false" ht="15" hidden="false" customHeight="false" outlineLevel="0" collapsed="false">
      <c r="A7" s="5" t="s">
        <v>47</v>
      </c>
      <c r="B7" s="7" t="n">
        <f aca="false">Historicals!D9</f>
        <v>2457.5</v>
      </c>
      <c r="C7" s="6" t="n">
        <f aca="false">C5*Assumptions!B6</f>
        <v>2679.105</v>
      </c>
      <c r="D7" s="6" t="n">
        <f aca="false">D5*Assumptions!C6</f>
        <v>2893.4334</v>
      </c>
      <c r="E7" s="6" t="n">
        <f aca="false">E5*Assumptions!D6</f>
        <v>3095.973738</v>
      </c>
      <c r="F7" s="6" t="n">
        <f aca="false">F5*Assumptions!E6</f>
        <v>3281.73216228</v>
      </c>
      <c r="G7" s="6" t="n">
        <f aca="false">G5*Assumptions!F6</f>
        <v>3445.818770394</v>
      </c>
    </row>
    <row r="8" customFormat="false" ht="15" hidden="false" customHeight="false" outlineLevel="0" collapsed="false">
      <c r="A8" s="5" t="s">
        <v>48</v>
      </c>
      <c r="B8" s="7" t="n">
        <f aca="false">Historicals!D10</f>
        <v>70.6</v>
      </c>
      <c r="C8" s="6" t="n">
        <f aca="false">C5*Assumptions!B7</f>
        <v>78.58708</v>
      </c>
      <c r="D8" s="6" t="n">
        <f aca="false">D5*Assumptions!C7</f>
        <v>84.8740464</v>
      </c>
      <c r="E8" s="6" t="n">
        <f aca="false">E5*Assumptions!D7</f>
        <v>90.815229648</v>
      </c>
      <c r="F8" s="6" t="n">
        <f aca="false">F5*Assumptions!E7</f>
        <v>96.26414342688</v>
      </c>
      <c r="G8" s="6" t="n">
        <f aca="false">G5*Assumptions!F7</f>
        <v>101.077350598224</v>
      </c>
    </row>
    <row r="9" customFormat="false" ht="15" hidden="false" customHeight="false" outlineLevel="0" collapsed="false">
      <c r="A9" s="5" t="s">
        <v>49</v>
      </c>
      <c r="B9" s="7" t="n">
        <f aca="false">Historicals!D11</f>
        <v>133.6</v>
      </c>
      <c r="C9" s="6" t="n">
        <f aca="false">C5*Assumptions!B8</f>
        <v>142.8856</v>
      </c>
      <c r="D9" s="6" t="n">
        <f aca="false">D5*Assumptions!C8</f>
        <v>154.316448</v>
      </c>
      <c r="E9" s="6" t="n">
        <f aca="false">E5*Assumptions!D8</f>
        <v>165.11859936</v>
      </c>
      <c r="F9" s="6" t="n">
        <f aca="false">F5*Assumptions!E8</f>
        <v>175.0257153216</v>
      </c>
      <c r="G9" s="6" t="n">
        <f aca="false">G5*Assumptions!F8</f>
        <v>183.77700108768</v>
      </c>
    </row>
    <row r="10" customFormat="false" ht="15" hidden="false" customHeight="false" outlineLevel="0" collapsed="false">
      <c r="A10" s="5" t="s">
        <v>51</v>
      </c>
      <c r="B10" s="7" t="n">
        <f aca="false">Historicals!D13</f>
        <v>147.5</v>
      </c>
      <c r="C10" s="6" t="n">
        <f aca="false">C5*Assumptions!B9</f>
        <v>164.31844</v>
      </c>
      <c r="D10" s="6" t="n">
        <f aca="false">D5*Assumptions!C9</f>
        <v>177.4639152</v>
      </c>
      <c r="E10" s="6" t="n">
        <f aca="false">E5*Assumptions!D9</f>
        <v>189.886389264</v>
      </c>
      <c r="F10" s="6" t="n">
        <f aca="false">F5*Assumptions!E9</f>
        <v>201.27957261984</v>
      </c>
      <c r="G10" s="6" t="n">
        <f aca="false">G5*Assumptions!F9</f>
        <v>211.343551250832</v>
      </c>
    </row>
    <row r="11" customFormat="false" ht="15" hidden="false" customHeight="false" outlineLevel="0" collapsed="false">
      <c r="A11" s="5" t="s">
        <v>170</v>
      </c>
      <c r="B11" s="7" t="n">
        <f aca="false">Historicals!D12</f>
        <v>6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 customFormat="false" ht="15" hidden="false" customHeight="false" outlineLevel="0" collapsed="false">
      <c r="A12" s="13" t="s">
        <v>171</v>
      </c>
      <c r="B12" s="14" t="n">
        <f aca="false">B6-B7-B8-B9-B10-B11</f>
        <v>713.799999999999</v>
      </c>
      <c r="C12" s="14" t="n">
        <f aca="false">C6-C7-C8-C9-C10-C11</f>
        <v>814.44792</v>
      </c>
      <c r="D12" s="14" t="n">
        <f aca="false">D6-D7-D8-D9-D10-D11</f>
        <v>879.6037536</v>
      </c>
      <c r="E12" s="14" t="n">
        <f aca="false">E6-E7-E8-E9-E10-E11</f>
        <v>941.176016352001</v>
      </c>
      <c r="F12" s="14" t="n">
        <f aca="false">F6-F7-F8-F9-F10-F11</f>
        <v>997.64657733312</v>
      </c>
      <c r="G12" s="14" t="n">
        <f aca="false">G6-G7-G8-G9-G10-G11</f>
        <v>1047.52890619978</v>
      </c>
    </row>
    <row r="13" customFormat="false" ht="15" hidden="false" customHeight="false" outlineLevel="0" collapsed="false">
      <c r="A13" s="5" t="s">
        <v>96</v>
      </c>
      <c r="B13" s="17" t="n">
        <f aca="false">IF(B5=0,0,B12/B5)</f>
        <v>0.109903307261193</v>
      </c>
      <c r="C13" s="17" t="n">
        <f aca="false">IF(C5=0,0,C12/C5)</f>
        <v>0.114</v>
      </c>
      <c r="D13" s="17" t="n">
        <f aca="false">IF(D5=0,0,D12/D5)</f>
        <v>0.114</v>
      </c>
      <c r="E13" s="17" t="n">
        <f aca="false">IF(E5=0,0,E12/E5)</f>
        <v>0.114</v>
      </c>
      <c r="F13" s="17" t="n">
        <f aca="false">IF(F5=0,0,F12/F5)</f>
        <v>0.114</v>
      </c>
      <c r="G13" s="17" t="n">
        <f aca="false">IF(G5=0,0,G12/G5)</f>
        <v>0.114</v>
      </c>
    </row>
    <row r="14" customFormat="false" ht="15" hidden="false" customHeight="false" outlineLevel="0" collapsed="false">
      <c r="A14" s="5" t="s">
        <v>172</v>
      </c>
      <c r="C14" s="6" t="n">
        <f aca="false">C12*Assumptions!B10</f>
        <v>195.4675008</v>
      </c>
      <c r="D14" s="6" t="n">
        <f aca="false">D12*Assumptions!C10</f>
        <v>211.104900864</v>
      </c>
      <c r="E14" s="6" t="n">
        <f aca="false">E12*Assumptions!D10</f>
        <v>225.88224392448</v>
      </c>
      <c r="F14" s="6" t="n">
        <f aca="false">F12*Assumptions!E10</f>
        <v>239.435178559949</v>
      </c>
      <c r="G14" s="6" t="n">
        <f aca="false">G12*Assumptions!F10</f>
        <v>251.406937487946</v>
      </c>
    </row>
    <row r="15" customFormat="false" ht="15" hidden="false" customHeight="false" outlineLevel="0" collapsed="false">
      <c r="A15" s="13" t="s">
        <v>173</v>
      </c>
      <c r="B15" s="25"/>
      <c r="C15" s="14" t="n">
        <f aca="false">C12-C14</f>
        <v>618.9804192</v>
      </c>
      <c r="D15" s="14" t="n">
        <f aca="false">D12-D14</f>
        <v>668.498852736</v>
      </c>
      <c r="E15" s="14" t="n">
        <f aca="false">E12-E14</f>
        <v>715.29377242752</v>
      </c>
      <c r="F15" s="14" t="n">
        <f aca="false">F12-F14</f>
        <v>758.211398773171</v>
      </c>
      <c r="G15" s="14" t="n">
        <f aca="false">G12-G14</f>
        <v>796.12196871183</v>
      </c>
    </row>
    <row r="16" customFormat="false" ht="15" hidden="false" customHeight="false" outlineLevel="0" collapsed="false">
      <c r="A16" s="5" t="s">
        <v>174</v>
      </c>
      <c r="C16" s="6" t="n">
        <f aca="false">C8+C10</f>
        <v>242.90552</v>
      </c>
      <c r="D16" s="6" t="n">
        <f aca="false">D8+D10</f>
        <v>262.3379616</v>
      </c>
      <c r="E16" s="6" t="n">
        <f aca="false">E8+E10</f>
        <v>280.701618912</v>
      </c>
      <c r="F16" s="6" t="n">
        <f aca="false">F8+F10</f>
        <v>297.54371604672</v>
      </c>
      <c r="G16" s="6" t="n">
        <f aca="false">G8+G10</f>
        <v>312.420901849056</v>
      </c>
    </row>
    <row r="17" customFormat="false" ht="15" hidden="false" customHeight="false" outlineLevel="0" collapsed="false">
      <c r="A17" s="5" t="s">
        <v>175</v>
      </c>
      <c r="C17" s="6" t="n">
        <f aca="false">C5*Assumptions!B11</f>
        <v>114.30848</v>
      </c>
      <c r="D17" s="6" t="n">
        <f aca="false">D5*Assumptions!C11</f>
        <v>123.4531584</v>
      </c>
      <c r="E17" s="6" t="n">
        <f aca="false">E5*Assumptions!D11</f>
        <v>132.094879488</v>
      </c>
      <c r="F17" s="6" t="n">
        <f aca="false">F5*Assumptions!E11</f>
        <v>140.02057225728</v>
      </c>
      <c r="G17" s="6" t="n">
        <f aca="false">G5*Assumptions!F11</f>
        <v>147.021600870144</v>
      </c>
    </row>
    <row r="18" customFormat="false" ht="15" hidden="false" customHeight="false" outlineLevel="0" collapsed="false">
      <c r="A18" s="5" t="s">
        <v>176</v>
      </c>
      <c r="C18" s="6" t="n">
        <f aca="false">Assumptions!B12*(C5-B5)</f>
        <v>47.2300000000001</v>
      </c>
      <c r="D18" s="6" t="n">
        <f aca="false">Assumptions!C12*(D5-C5)</f>
        <v>41.5624</v>
      </c>
      <c r="E18" s="6" t="n">
        <f aca="false">Assumptions!D12*(E5-D5)</f>
        <v>39.276468</v>
      </c>
      <c r="F18" s="6" t="n">
        <f aca="false">Assumptions!E12*(F5-E5)</f>
        <v>36.02213208</v>
      </c>
      <c r="G18" s="6" t="n">
        <f aca="false">Assumptions!F12*(G5-F5)</f>
        <v>31.819550004</v>
      </c>
    </row>
    <row r="19" customFormat="false" ht="15" hidden="false" customHeight="false" outlineLevel="0" collapsed="false">
      <c r="A19" s="13" t="s">
        <v>177</v>
      </c>
      <c r="B19" s="25"/>
      <c r="C19" s="14" t="n">
        <f aca="false">C15+C16-C17-C18</f>
        <v>700.3474592</v>
      </c>
      <c r="D19" s="14" t="n">
        <f aca="false">D15+D16-D17-D18</f>
        <v>765.821255936</v>
      </c>
      <c r="E19" s="14" t="n">
        <f aca="false">E15+E16-E17-E18</f>
        <v>824.62404385152</v>
      </c>
      <c r="F19" s="14" t="n">
        <f aca="false">F15+F16-F17-F18</f>
        <v>879.712410482611</v>
      </c>
      <c r="G19" s="14" t="n">
        <f aca="false">G15+G16-G17-G18</f>
        <v>929.701719686742</v>
      </c>
    </row>
    <row r="21" customFormat="false" ht="15" hidden="false" customHeight="false" outlineLevel="0" collapsed="false">
      <c r="A21" s="2" t="s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8" hidden="false" customHeight="true" outlineLevel="0" collapsed="false">
      <c r="A1" s="1" t="s">
        <v>179</v>
      </c>
    </row>
    <row r="2" customFormat="false" ht="15" hidden="false" customHeight="false" outlineLevel="0" collapsed="false">
      <c r="A2" s="2" t="s">
        <v>180</v>
      </c>
    </row>
    <row r="3" customFormat="false" ht="15" hidden="false" customHeight="false" outlineLevel="0" collapsed="false">
      <c r="A3" s="3" t="s">
        <v>181</v>
      </c>
      <c r="B3" s="3" t="s">
        <v>143</v>
      </c>
      <c r="C3" s="3" t="s">
        <v>182</v>
      </c>
    </row>
    <row r="4" customFormat="false" ht="15" hidden="false" customHeight="false" outlineLevel="0" collapsed="false">
      <c r="A4" s="5" t="s">
        <v>155</v>
      </c>
      <c r="B4" s="20" t="n">
        <f aca="false">Assumptions!B20</f>
        <v>0.0395</v>
      </c>
      <c r="C4" s="2" t="s">
        <v>183</v>
      </c>
    </row>
    <row r="5" customFormat="false" ht="15" hidden="false" customHeight="false" outlineLevel="0" collapsed="false">
      <c r="A5" s="5" t="s">
        <v>157</v>
      </c>
      <c r="B5" s="26" t="n">
        <f aca="false">Assumptions!B21</f>
        <v>0.72</v>
      </c>
      <c r="C5" s="2" t="s">
        <v>183</v>
      </c>
    </row>
    <row r="6" customFormat="false" ht="15" hidden="false" customHeight="false" outlineLevel="0" collapsed="false">
      <c r="A6" s="5" t="s">
        <v>147</v>
      </c>
      <c r="B6" s="20" t="n">
        <f aca="false">Assumptions!B16</f>
        <v>0.055</v>
      </c>
      <c r="C6" s="2" t="s">
        <v>183</v>
      </c>
    </row>
    <row r="7" customFormat="false" ht="15" hidden="false" customHeight="false" outlineLevel="0" collapsed="false">
      <c r="A7" s="10" t="s">
        <v>184</v>
      </c>
      <c r="B7" s="27" t="n">
        <f aca="false">B4+B5*B6</f>
        <v>0.0791</v>
      </c>
      <c r="C7" s="2" t="s">
        <v>185</v>
      </c>
    </row>
    <row r="8" customFormat="false" ht="15" hidden="false" customHeight="false" outlineLevel="0" collapsed="false">
      <c r="A8" s="5" t="s">
        <v>149</v>
      </c>
      <c r="B8" s="20" t="n">
        <f aca="false">Assumptions!B17</f>
        <v>0.05</v>
      </c>
      <c r="C8" s="2" t="s">
        <v>183</v>
      </c>
    </row>
    <row r="9" customFormat="false" ht="15" hidden="false" customHeight="false" outlineLevel="0" collapsed="false">
      <c r="A9" s="5" t="s">
        <v>186</v>
      </c>
      <c r="B9" s="20" t="n">
        <f aca="false">Assumptions!B10</f>
        <v>0.24</v>
      </c>
      <c r="C9" s="2" t="s">
        <v>183</v>
      </c>
    </row>
    <row r="10" customFormat="false" ht="15" hidden="false" customHeight="false" outlineLevel="0" collapsed="false">
      <c r="A10" s="5" t="s">
        <v>187</v>
      </c>
      <c r="B10" s="17" t="n">
        <f aca="false">B8*(1-B9)</f>
        <v>0.038</v>
      </c>
      <c r="C10" s="2" t="s">
        <v>188</v>
      </c>
    </row>
    <row r="11" customFormat="false" ht="15" hidden="false" customHeight="false" outlineLevel="0" collapsed="false">
      <c r="A11" s="5" t="s">
        <v>189</v>
      </c>
      <c r="B11" s="28" t="n">
        <f aca="false">Assumptions!B22</f>
        <v>96.25</v>
      </c>
      <c r="C11" s="2" t="s">
        <v>183</v>
      </c>
    </row>
    <row r="12" customFormat="false" ht="15" hidden="false" customHeight="false" outlineLevel="0" collapsed="false">
      <c r="A12" s="5" t="s">
        <v>151</v>
      </c>
      <c r="B12" s="7" t="n">
        <f aca="false">Assumptions!B18</f>
        <v>114.1</v>
      </c>
      <c r="C12" s="2" t="s">
        <v>183</v>
      </c>
    </row>
    <row r="13" customFormat="false" ht="15" hidden="false" customHeight="false" outlineLevel="0" collapsed="false">
      <c r="A13" s="5" t="s">
        <v>190</v>
      </c>
      <c r="B13" s="6" t="n">
        <f aca="false">B11*B12</f>
        <v>10982.125</v>
      </c>
      <c r="C13" s="2" t="s">
        <v>191</v>
      </c>
    </row>
    <row r="14" customFormat="false" ht="15" hidden="false" customHeight="false" outlineLevel="0" collapsed="false">
      <c r="A14" s="5" t="s">
        <v>192</v>
      </c>
      <c r="B14" s="7" t="n">
        <f aca="false">Historicals!D29</f>
        <v>1818.3</v>
      </c>
      <c r="C14" s="2" t="s">
        <v>193</v>
      </c>
    </row>
    <row r="15" customFormat="false" ht="15" hidden="false" customHeight="false" outlineLevel="0" collapsed="false">
      <c r="A15" s="5" t="s">
        <v>194</v>
      </c>
      <c r="B15" s="6" t="n">
        <f aca="false">B13+B14</f>
        <v>12800.425</v>
      </c>
      <c r="C15" s="2"/>
    </row>
    <row r="16" customFormat="false" ht="15" hidden="false" customHeight="false" outlineLevel="0" collapsed="false">
      <c r="A16" s="5" t="s">
        <v>195</v>
      </c>
      <c r="B16" s="17" t="n">
        <f aca="false">IF(B15=0,0,B13/B15)</f>
        <v>0.857950029002943</v>
      </c>
      <c r="C16" s="2"/>
    </row>
    <row r="17" customFormat="false" ht="15" hidden="false" customHeight="false" outlineLevel="0" collapsed="false">
      <c r="A17" s="5" t="s">
        <v>196</v>
      </c>
      <c r="B17" s="17" t="n">
        <f aca="false">IF(B15=0,0,B14/B15)</f>
        <v>0.142049970997057</v>
      </c>
      <c r="C17" s="2"/>
    </row>
    <row r="18" customFormat="false" ht="15" hidden="false" customHeight="false" outlineLevel="0" collapsed="false">
      <c r="A18" s="13" t="s">
        <v>197</v>
      </c>
      <c r="B18" s="29" t="n">
        <f aca="false">IF(OR(B4=0,B5=0,B11=0),0,B16*B7+B17*B10)</f>
        <v>0.073261746192021</v>
      </c>
      <c r="C18" s="2" t="s">
        <v>198</v>
      </c>
    </row>
    <row r="20" customFormat="false" ht="15" hidden="false" customHeight="false" outlineLevel="0" collapsed="false">
      <c r="A20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7" min="3" style="0" width="12"/>
  </cols>
  <sheetData>
    <row r="1" customFormat="false" ht="18" hidden="false" customHeight="tru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3" customFormat="false" ht="15" hidden="false" customHeight="false" outlineLevel="0" collapsed="false">
      <c r="A3" s="3" t="s">
        <v>201</v>
      </c>
      <c r="B3" s="3" t="s">
        <v>143</v>
      </c>
      <c r="C3" s="3"/>
      <c r="D3" s="3"/>
      <c r="E3" s="3"/>
      <c r="F3" s="3"/>
      <c r="G3" s="3"/>
    </row>
    <row r="4" customFormat="false" ht="15" hidden="false" customHeight="false" outlineLevel="0" collapsed="false">
      <c r="A4" s="5" t="s">
        <v>197</v>
      </c>
      <c r="B4" s="20" t="n">
        <f aca="false">WACC!B18</f>
        <v>0.073261746192021</v>
      </c>
    </row>
    <row r="5" customFormat="false" ht="15" hidden="false" customHeight="false" outlineLevel="0" collapsed="false">
      <c r="A5" s="5" t="s">
        <v>145</v>
      </c>
      <c r="B5" s="20" t="n">
        <f aca="false">Assumptions!B15</f>
        <v>0.025</v>
      </c>
    </row>
    <row r="6" customFormat="false" ht="15" hidden="false" customHeight="false" outlineLevel="0" collapsed="false">
      <c r="A6" s="5" t="s">
        <v>192</v>
      </c>
      <c r="B6" s="7" t="n">
        <f aca="false">Historicals!D29</f>
        <v>1818.3</v>
      </c>
    </row>
    <row r="7" customFormat="false" ht="15" hidden="false" customHeight="false" outlineLevel="0" collapsed="false">
      <c r="A7" s="5" t="s">
        <v>202</v>
      </c>
      <c r="B7" s="7" t="n">
        <f aca="false">Historicals!D24</f>
        <v>398.1</v>
      </c>
    </row>
    <row r="8" customFormat="false" ht="15" hidden="false" customHeight="false" outlineLevel="0" collapsed="false">
      <c r="A8" s="5" t="s">
        <v>151</v>
      </c>
      <c r="B8" s="7" t="n">
        <f aca="false">Assumptions!B18</f>
        <v>114.1</v>
      </c>
    </row>
    <row r="9" customFormat="false" ht="15" hidden="false" customHeight="false" outlineLevel="0" collapsed="false">
      <c r="A9" s="5" t="s">
        <v>159</v>
      </c>
      <c r="B9" s="28" t="n">
        <f aca="false">Assumptions!B22</f>
        <v>96.25</v>
      </c>
    </row>
    <row r="11" customFormat="false" ht="15" hidden="false" customHeight="false" outlineLevel="0" collapsed="false">
      <c r="A11" s="3" t="s">
        <v>203</v>
      </c>
      <c r="B11" s="3"/>
      <c r="C11" s="12" t="s">
        <v>165</v>
      </c>
      <c r="D11" s="12" t="s">
        <v>166</v>
      </c>
      <c r="E11" s="12" t="s">
        <v>167</v>
      </c>
      <c r="F11" s="12" t="s">
        <v>168</v>
      </c>
      <c r="G11" s="12" t="s">
        <v>169</v>
      </c>
    </row>
    <row r="12" customFormat="false" ht="15" hidden="false" customHeight="false" outlineLevel="0" collapsed="false">
      <c r="A12" s="5" t="s">
        <v>204</v>
      </c>
      <c r="C12" s="31" t="n">
        <v>1</v>
      </c>
      <c r="D12" s="31" t="n">
        <v>2</v>
      </c>
      <c r="E12" s="31" t="n">
        <v>3</v>
      </c>
      <c r="F12" s="31" t="n">
        <v>4</v>
      </c>
      <c r="G12" s="31" t="n">
        <v>5</v>
      </c>
    </row>
    <row r="13" customFormat="false" ht="15" hidden="false" customHeight="false" outlineLevel="0" collapsed="false">
      <c r="A13" s="5" t="s">
        <v>177</v>
      </c>
      <c r="C13" s="7" t="n">
        <f aca="false">Forecast!C19</f>
        <v>700.3474592</v>
      </c>
      <c r="D13" s="7" t="n">
        <f aca="false">Forecast!D19</f>
        <v>765.821255936</v>
      </c>
      <c r="E13" s="7" t="n">
        <f aca="false">Forecast!E19</f>
        <v>824.62404385152</v>
      </c>
      <c r="F13" s="7" t="n">
        <f aca="false">Forecast!F19</f>
        <v>879.712410482611</v>
      </c>
      <c r="G13" s="7" t="n">
        <f aca="false">Forecast!G19</f>
        <v>929.701719686742</v>
      </c>
    </row>
    <row r="14" customFormat="false" ht="15" hidden="false" customHeight="false" outlineLevel="0" collapsed="false">
      <c r="A14" s="5" t="s">
        <v>205</v>
      </c>
      <c r="C14" s="32" t="n">
        <f aca="false">1/(1+$B$4)^C12</f>
        <v>0.931739161996636</v>
      </c>
      <c r="D14" s="32" t="n">
        <f aca="false">1/(1+$B$4)^D12</f>
        <v>0.868137865998194</v>
      </c>
      <c r="E14" s="32" t="n">
        <f aca="false">1/(1+$B$4)^E12</f>
        <v>0.808878047762705</v>
      </c>
      <c r="F14" s="32" t="n">
        <f aca="false">1/(1+$B$4)^F12</f>
        <v>0.753663354379898</v>
      </c>
      <c r="G14" s="32" t="n">
        <f aca="false">1/(1+$B$4)^G12</f>
        <v>0.702217662237499</v>
      </c>
    </row>
    <row r="15" customFormat="false" ht="15" hidden="false" customHeight="false" outlineLevel="0" collapsed="false">
      <c r="A15" s="10" t="s">
        <v>206</v>
      </c>
      <c r="C15" s="15" t="n">
        <f aca="false">C13*C14</f>
        <v>652.541154741481</v>
      </c>
      <c r="D15" s="15" t="n">
        <f aca="false">D13*D14</f>
        <v>664.838430864336</v>
      </c>
      <c r="E15" s="15" t="n">
        <f aca="false">E13*E14</f>
        <v>667.020286728805</v>
      </c>
      <c r="F15" s="15" t="n">
        <f aca="false">F13*F14</f>
        <v>663.00700617395</v>
      </c>
      <c r="G15" s="15" t="n">
        <f aca="false">G13*G14</f>
        <v>652.852968176607</v>
      </c>
    </row>
    <row r="17" customFormat="false" ht="15" hidden="false" customHeight="false" outlineLevel="0" collapsed="false">
      <c r="A17" s="3" t="s">
        <v>207</v>
      </c>
      <c r="B17" s="3" t="s">
        <v>143</v>
      </c>
      <c r="C17" s="3" t="s">
        <v>182</v>
      </c>
      <c r="D17" s="3"/>
      <c r="E17" s="3"/>
      <c r="F17" s="3"/>
      <c r="G17" s="3"/>
    </row>
    <row r="18" customFormat="false" ht="15" hidden="false" customHeight="false" outlineLevel="0" collapsed="false">
      <c r="A18" s="5" t="s">
        <v>208</v>
      </c>
      <c r="B18" s="6" t="n">
        <f aca="false">SUM(C15:G15)</f>
        <v>3300.25984668518</v>
      </c>
      <c r="C18" s="2"/>
    </row>
    <row r="19" customFormat="false" ht="15" hidden="false" customHeight="false" outlineLevel="0" collapsed="false">
      <c r="A19" s="5" t="s">
        <v>209</v>
      </c>
      <c r="B19" s="6" t="n">
        <f aca="false">IF($B$4&lt;=$B$5,0,G13*(1+$B$5)/($B$4-$B$5))</f>
        <v>19745.3332684523</v>
      </c>
      <c r="C19" s="2" t="s">
        <v>210</v>
      </c>
    </row>
    <row r="20" customFormat="false" ht="15" hidden="false" customHeight="false" outlineLevel="0" collapsed="false">
      <c r="A20" s="5" t="s">
        <v>211</v>
      </c>
      <c r="B20" s="6" t="n">
        <f aca="false">B19*G14</f>
        <v>13865.5217678729</v>
      </c>
      <c r="C20" s="2" t="s">
        <v>212</v>
      </c>
    </row>
    <row r="21" customFormat="false" ht="15" hidden="false" customHeight="false" outlineLevel="0" collapsed="false">
      <c r="A21" s="13" t="s">
        <v>213</v>
      </c>
      <c r="B21" s="14" t="n">
        <f aca="false">IF($B$4&lt;=$B$5,0,B18+B20)</f>
        <v>17165.781614558</v>
      </c>
      <c r="C21" s="2" t="s">
        <v>214</v>
      </c>
    </row>
    <row r="22" customFormat="false" ht="15" hidden="false" customHeight="false" outlineLevel="0" collapsed="false">
      <c r="A22" s="5" t="s">
        <v>215</v>
      </c>
      <c r="B22" s="6" t="n">
        <f aca="false">B6</f>
        <v>1818.3</v>
      </c>
      <c r="C22" s="2"/>
    </row>
    <row r="23" customFormat="false" ht="15" hidden="false" customHeight="false" outlineLevel="0" collapsed="false">
      <c r="A23" s="5" t="s">
        <v>216</v>
      </c>
      <c r="B23" s="6" t="n">
        <f aca="false">B7</f>
        <v>398.1</v>
      </c>
      <c r="C23" s="2"/>
    </row>
    <row r="24" customFormat="false" ht="15" hidden="false" customHeight="false" outlineLevel="0" collapsed="false">
      <c r="A24" s="13" t="s">
        <v>217</v>
      </c>
      <c r="B24" s="14" t="n">
        <f aca="false">IF(B21=0,0,B21-B22+B23)</f>
        <v>15745.581614558</v>
      </c>
      <c r="C24" s="2"/>
    </row>
    <row r="25" customFormat="false" ht="15" hidden="false" customHeight="false" outlineLevel="0" collapsed="false">
      <c r="A25" s="10" t="s">
        <v>218</v>
      </c>
      <c r="B25" s="33" t="n">
        <f aca="false">IF(B8=0,0,B24/B8)</f>
        <v>137.998086017161</v>
      </c>
      <c r="C25" s="2"/>
    </row>
    <row r="26" customFormat="false" ht="15" hidden="false" customHeight="false" outlineLevel="0" collapsed="false">
      <c r="A26" s="5" t="s">
        <v>159</v>
      </c>
      <c r="B26" s="34" t="n">
        <f aca="false">B9</f>
        <v>96.25</v>
      </c>
      <c r="C26" s="2"/>
    </row>
    <row r="27" customFormat="false" ht="15" hidden="false" customHeight="false" outlineLevel="0" collapsed="false">
      <c r="A27" s="10" t="s">
        <v>219</v>
      </c>
      <c r="B27" s="27" t="n">
        <f aca="false">IF(OR(B9=0,B25=0),0,B25/B9-1)</f>
        <v>0.433746348230242</v>
      </c>
      <c r="C27" s="2"/>
    </row>
    <row r="28" customFormat="false" ht="15" hidden="false" customHeight="false" outlineLevel="0" collapsed="false">
      <c r="A28" s="5" t="s">
        <v>220</v>
      </c>
      <c r="B28" s="17" t="n">
        <f aca="false">IF(B21=0,0,B20/B21)</f>
        <v>0.807741941451342</v>
      </c>
      <c r="C28" s="2" t="s">
        <v>221</v>
      </c>
    </row>
    <row r="30" customFormat="false" ht="15" hidden="false" customHeight="false" outlineLevel="0" collapsed="false">
      <c r="A30" s="3" t="s">
        <v>222</v>
      </c>
      <c r="B30" s="3" t="s">
        <v>223</v>
      </c>
      <c r="C30" s="35" t="n">
        <v>0.02</v>
      </c>
      <c r="D30" s="35" t="n">
        <v>0.025</v>
      </c>
      <c r="E30" s="35" t="n">
        <v>0.03</v>
      </c>
      <c r="F30" s="3"/>
      <c r="G30" s="3"/>
    </row>
    <row r="31" customFormat="false" ht="15" hidden="false" customHeight="false" outlineLevel="0" collapsed="false">
      <c r="B31" s="36" t="n">
        <v>0.075</v>
      </c>
      <c r="C31" s="34" t="n">
        <f aca="false">IF($B31&lt;=C$30,0,(SUMPRODUCT($C$13:$G$13/(1+$B31)^$C$12:$G$12)+$G$13*(1+C$30)/($B31-C$30)/(1+$B31)^$G$12-$B$6+$B$7)/$B$8)</f>
        <v>121.594832186251</v>
      </c>
      <c r="D31" s="34" t="n">
        <f aca="false">IF($B31&lt;=D$30,0,(SUMPRODUCT($C$13:$G$13/(1+$B31)^$C$12:$G$12)+$G$13*(1+D$30)/($B31-D$30)/(1+$B31)^$G$12-$B$6+$B$7)/$B$8)</f>
        <v>132.688149694584</v>
      </c>
      <c r="E31" s="34" t="n">
        <f aca="false">IF($B31&lt;=E$30,0,(SUMPRODUCT($C$13:$G$13/(1+$B31)^$C$12:$G$12)+$G$13*(1+E$30)/($B31-E$30)/(1+$B31)^$G$12-$B$6+$B$7)/$B$8)</f>
        <v>146.246648871436</v>
      </c>
    </row>
    <row r="32" customFormat="false" ht="15" hidden="false" customHeight="false" outlineLevel="0" collapsed="false">
      <c r="B32" s="36" t="n">
        <v>0.08</v>
      </c>
      <c r="C32" s="34" t="n">
        <f aca="false">IF($B32&lt;=C$30,0,(SUMPRODUCT($C$13:$G$13/(1+$B32)^$C$12:$G$12)+$G$13*(1+C$30)/($B32-C$30)/(1+$B32)^$G$12-$B$6+$B$7)/$B$8)</f>
        <v>110.213626942727</v>
      </c>
      <c r="D32" s="34" t="n">
        <f aca="false">IF($B32&lt;=D$30,0,(SUMPRODUCT($C$13:$G$13/(1+$B32)^$C$12:$G$12)+$G$13*(1+D$30)/($B32-D$30)/(1+$B32)^$G$12-$B$6+$B$7)/$B$8)</f>
        <v>119.288050204697</v>
      </c>
      <c r="E32" s="34" t="n">
        <f aca="false">IF($B32&lt;=E$30,0,(SUMPRODUCT($C$13:$G$13/(1+$B32)^$C$12:$G$12)+$G$13*(1+E$30)/($B32-E$30)/(1+$B32)^$G$12-$B$6+$B$7)/$B$8)</f>
        <v>130.177358119062</v>
      </c>
    </row>
    <row r="33" customFormat="false" ht="15" hidden="false" customHeight="false" outlineLevel="0" collapsed="false">
      <c r="B33" s="36" t="n">
        <v>0.085</v>
      </c>
      <c r="C33" s="34" t="n">
        <f aca="false">IF($B33&lt;=C$30,0,(SUMPRODUCT($C$13:$G$13/(1+$B33)^$C$12:$G$12)+$G$13*(1+C$30)/($B33-C$30)/(1+$B33)^$G$12-$B$6+$B$7)/$B$8)</f>
        <v>100.586737273863</v>
      </c>
      <c r="D33" s="34" t="n">
        <f aca="false">IF($B33&lt;=D$30,0,(SUMPRODUCT($C$13:$G$13/(1+$B33)^$C$12:$G$12)+$G$13*(1+D$30)/($B33-D$30)/(1+$B33)^$G$12-$B$6+$B$7)/$B$8)</f>
        <v>108.12453422397</v>
      </c>
      <c r="E33" s="34" t="n">
        <f aca="false">IF($B33&lt;=E$30,0,(SUMPRODUCT($C$13:$G$13/(1+$B33)^$C$12:$G$12)+$G$13*(1+E$30)/($B33-E$30)/(1+$B33)^$G$12-$B$6+$B$7)/$B$8)</f>
        <v>117.032839710461</v>
      </c>
    </row>
    <row r="34" customFormat="false" ht="15" hidden="false" customHeight="false" outlineLevel="0" collapsed="false">
      <c r="B34" s="36" t="n">
        <v>0.09</v>
      </c>
      <c r="C34" s="34" t="n">
        <f aca="false">IF($B34&lt;=C$30,0,(SUMPRODUCT($C$13:$G$13/(1+$B34)^$C$12:$G$12)+$G$13*(1+C$30)/($B34-C$30)/(1+$B34)^$G$12-$B$6+$B$7)/$B$8)</f>
        <v>92.3381664427446</v>
      </c>
      <c r="D34" s="34" t="n">
        <f aca="false">IF($B34&lt;=D$30,0,(SUMPRODUCT($C$13:$G$13/(1+$B34)^$C$12:$G$12)+$G$13*(1+D$30)/($B34-D$30)/(1+$B34)^$G$12-$B$6+$B$7)/$B$8)</f>
        <v>98.6813985891821</v>
      </c>
      <c r="E34" s="34" t="n">
        <f aca="false">IF($B34&lt;=E$30,0,(SUMPRODUCT($C$13:$G$13/(1+$B34)^$C$12:$G$12)+$G$13*(1+E$30)/($B34-E$30)/(1+$B34)^$G$12-$B$6+$B$7)/$B$8)</f>
        <v>106.081836093359</v>
      </c>
    </row>
    <row r="35" customFormat="false" ht="15" hidden="false" customHeight="false" outlineLevel="0" collapsed="false">
      <c r="B35" s="36" t="n">
        <v>0.095</v>
      </c>
      <c r="C35" s="34" t="n">
        <f aca="false">IF($B35&lt;=C$30,0,(SUMPRODUCT($C$13:$G$13/(1+$B35)^$C$12:$G$12)+$G$13*(1+C$30)/($B35-C$30)/(1+$B35)^$G$12-$B$6+$B$7)/$B$8)</f>
        <v>85.1921854110657</v>
      </c>
      <c r="D35" s="34" t="n">
        <f aca="false">IF($B35&lt;=D$30,0,(SUMPRODUCT($C$13:$G$13/(1+$B35)^$C$12:$G$12)+$G$13*(1+D$30)/($B35-D$30)/(1+$B35)^$G$12-$B$6+$B$7)/$B$8)</f>
        <v>90.5899285505142</v>
      </c>
      <c r="E35" s="34" t="n">
        <f aca="false">IF($B35&lt;=E$30,0,(SUMPRODUCT($C$13:$G$13/(1+$B35)^$C$12:$G$12)+$G$13*(1+E$30)/($B35-E$30)/(1+$B35)^$G$12-$B$6+$B$7)/$B$8)</f>
        <v>96.8180937114163</v>
      </c>
    </row>
    <row r="36" customFormat="false" ht="15" hidden="false" customHeight="false" outlineLevel="0" collapsed="false">
      <c r="B36" s="36" t="n">
        <v>0.1</v>
      </c>
      <c r="C36" s="34" t="n">
        <f aca="false">IF($B36&lt;=C$30,0,(SUMPRODUCT($C$13:$G$13/(1+$B36)^$C$12:$G$12)+$G$13*(1+C$30)/($B36-C$30)/(1+$B36)^$G$12-$B$6+$B$7)/$B$8)</f>
        <v>78.9419991240027</v>
      </c>
      <c r="D36" s="34" t="n">
        <f aca="false">IF($B36&lt;=D$30,0,(SUMPRODUCT($C$13:$G$13/(1+$B36)^$C$12:$G$12)+$G$13*(1+D$30)/($B36-D$30)/(1+$B36)^$G$12-$B$6+$B$7)/$B$8)</f>
        <v>83.5797349114851</v>
      </c>
      <c r="E36" s="34" t="n">
        <f aca="false">IF($B36&lt;=E$30,0,(SUMPRODUCT($C$13:$G$13/(1+$B36)^$C$12:$G$12)+$G$13*(1+E$30)/($B36-E$30)/(1+$B36)^$G$12-$B$6+$B$7)/$B$8)</f>
        <v>88.8800043828936</v>
      </c>
    </row>
    <row r="37" customFormat="false" ht="15" hidden="false" customHeight="false" outlineLevel="0" collapsed="false">
      <c r="A37" s="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3" activeCellId="0" sqref="A13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8" hidden="false" customHeight="true" outlineLevel="0" collapsed="false">
      <c r="A1" s="1" t="s">
        <v>225</v>
      </c>
    </row>
    <row r="2" customFormat="false" ht="15" hidden="false" customHeight="false" outlineLevel="0" collapsed="false">
      <c r="A2" s="2" t="s">
        <v>226</v>
      </c>
    </row>
    <row r="3" customFormat="false" ht="15" hidden="false" customHeight="false" outlineLevel="0" collapsed="false">
      <c r="A3" s="3" t="s">
        <v>227</v>
      </c>
      <c r="B3" s="3" t="s">
        <v>228</v>
      </c>
      <c r="C3" s="3" t="s">
        <v>229</v>
      </c>
      <c r="D3" s="3" t="s">
        <v>182</v>
      </c>
    </row>
    <row r="4" customFormat="false" ht="15" hidden="false" customHeight="false" outlineLevel="0" collapsed="false">
      <c r="A4" s="5" t="s">
        <v>230</v>
      </c>
      <c r="B4" s="5" t="s">
        <v>231</v>
      </c>
      <c r="C4" s="37" t="n">
        <v>13.52</v>
      </c>
    </row>
    <row r="5" customFormat="false" ht="15" hidden="false" customHeight="false" outlineLevel="0" collapsed="false">
      <c r="A5" s="5" t="s">
        <v>232</v>
      </c>
      <c r="B5" s="5" t="s">
        <v>233</v>
      </c>
      <c r="C5" s="37" t="n">
        <v>10.87</v>
      </c>
    </row>
    <row r="6" customFormat="false" ht="15" hidden="false" customHeight="false" outlineLevel="0" collapsed="false">
      <c r="A6" s="5" t="s">
        <v>234</v>
      </c>
      <c r="B6" s="5" t="s">
        <v>235</v>
      </c>
      <c r="C6" s="37" t="n">
        <v>14.06</v>
      </c>
    </row>
    <row r="7" customFormat="false" ht="15" hidden="false" customHeight="false" outlineLevel="0" collapsed="false">
      <c r="A7" s="5" t="s">
        <v>236</v>
      </c>
      <c r="B7" s="5" t="s">
        <v>237</v>
      </c>
      <c r="C7" s="37" t="n">
        <v>21.45</v>
      </c>
    </row>
    <row r="8" customFormat="false" ht="15" hidden="false" customHeight="false" outlineLevel="0" collapsed="false">
      <c r="A8" s="13" t="s">
        <v>238</v>
      </c>
      <c r="B8" s="25"/>
      <c r="C8" s="38" t="n">
        <f aca="false">IF(COUNT(C4:C7)=0,0,MEDIAN(C4:C7))</f>
        <v>13.79</v>
      </c>
      <c r="D8" s="2" t="s">
        <v>239</v>
      </c>
    </row>
    <row r="10" customFormat="false" ht="15" hidden="false" customHeight="false" outlineLevel="0" collapsed="false">
      <c r="A10" s="10" t="s">
        <v>240</v>
      </c>
      <c r="B10" s="5" t="s">
        <v>241</v>
      </c>
      <c r="C10" s="37" t="n">
        <v>11.56</v>
      </c>
    </row>
    <row r="11" customFormat="false" ht="15" hidden="false" customHeight="false" outlineLevel="0" collapsed="false">
      <c r="A11" s="5" t="s">
        <v>242</v>
      </c>
      <c r="C11" s="17" t="n">
        <f aca="false">IF(OR(C8=0,C10=0),0,C10/C8-1)</f>
        <v>-0.161711385061639</v>
      </c>
    </row>
    <row r="13" customFormat="false" ht="15" hidden="false" customHeight="false" outlineLevel="0" collapsed="false">
      <c r="A13" s="5" t="s">
        <v>243</v>
      </c>
      <c r="C13" s="39" t="n">
        <v>1030</v>
      </c>
    </row>
    <row r="14" customFormat="false" ht="15" hidden="false" customHeight="false" outlineLevel="0" collapsed="false">
      <c r="A14" s="5" t="s">
        <v>244</v>
      </c>
      <c r="C14" s="6" t="n">
        <f aca="false">C8*C13</f>
        <v>14203.7</v>
      </c>
      <c r="D14" s="2" t="s">
        <v>245</v>
      </c>
    </row>
    <row r="15" customFormat="false" ht="15" hidden="false" customHeight="false" outlineLevel="0" collapsed="false">
      <c r="A15" s="5" t="s">
        <v>215</v>
      </c>
      <c r="C15" s="7" t="n">
        <f aca="false">Historicals!D29</f>
        <v>1818.3</v>
      </c>
    </row>
    <row r="16" customFormat="false" ht="15" hidden="false" customHeight="false" outlineLevel="0" collapsed="false">
      <c r="A16" s="5" t="s">
        <v>216</v>
      </c>
      <c r="C16" s="7" t="n">
        <f aca="false">Historicals!D24</f>
        <v>398.1</v>
      </c>
    </row>
    <row r="17" customFormat="false" ht="15" hidden="false" customHeight="false" outlineLevel="0" collapsed="false">
      <c r="A17" s="5" t="s">
        <v>246</v>
      </c>
      <c r="C17" s="6" t="n">
        <f aca="false">IF(C14=0,0,C14-C15+C16)</f>
        <v>12783.5</v>
      </c>
    </row>
    <row r="18" customFormat="false" ht="15" hidden="false" customHeight="false" outlineLevel="0" collapsed="false">
      <c r="A18" s="10" t="s">
        <v>247</v>
      </c>
      <c r="C18" s="33" t="n">
        <f aca="false">IF(Assumptions!B18=0,0,C17/Assumptions!B18)</f>
        <v>112.03768624014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1" activeCellId="0" sqref="A3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6"/>
    <col collapsed="false" customWidth="true" hidden="false" outlineLevel="0" max="3" min="3" style="0" width="36"/>
  </cols>
  <sheetData>
    <row r="1" customFormat="false" ht="18" hidden="false" customHeight="true" outlineLevel="0" collapsed="false">
      <c r="A1" s="1" t="s">
        <v>248</v>
      </c>
    </row>
    <row r="2" customFormat="false" ht="15" hidden="false" customHeight="false" outlineLevel="0" collapsed="false">
      <c r="A2" s="40" t="s">
        <v>249</v>
      </c>
    </row>
    <row r="4" customFormat="false" ht="15" hidden="false" customHeight="false" outlineLevel="0" collapsed="false">
      <c r="A4" s="3" t="s">
        <v>207</v>
      </c>
      <c r="B4" s="3" t="s">
        <v>143</v>
      </c>
    </row>
    <row r="5" customFormat="false" ht="15" hidden="false" customHeight="false" outlineLevel="0" collapsed="false">
      <c r="A5" s="5" t="s">
        <v>159</v>
      </c>
      <c r="B5" s="28" t="n">
        <f aca="false">DCF!B9</f>
        <v>96.25</v>
      </c>
    </row>
    <row r="6" customFormat="false" ht="15" hidden="false" customHeight="false" outlineLevel="0" collapsed="false">
      <c r="A6" s="5" t="s">
        <v>250</v>
      </c>
      <c r="B6" s="28" t="n">
        <f aca="false">DCF!B25</f>
        <v>137.998086017161</v>
      </c>
    </row>
    <row r="7" customFormat="false" ht="15" hidden="false" customHeight="false" outlineLevel="0" collapsed="false">
      <c r="A7" s="5" t="s">
        <v>219</v>
      </c>
      <c r="B7" s="20" t="n">
        <f aca="false">DCF!B27</f>
        <v>0.433746348230242</v>
      </c>
    </row>
    <row r="8" customFormat="false" ht="15" hidden="false" customHeight="false" outlineLevel="0" collapsed="false">
      <c r="A8" s="10" t="s">
        <v>251</v>
      </c>
      <c r="B8" s="10" t="str">
        <f aca="false">IF(OR(B5=0,B6=0),"Fill in market inputs",IF(B7&gt;0.1,"Undervalued",IF(B7&lt;-0.1,"Overvalued","Fairly valued")))</f>
        <v>Undervalued</v>
      </c>
      <c r="C8" s="2" t="s">
        <v>252</v>
      </c>
    </row>
    <row r="9" customFormat="false" ht="15" hidden="false" customHeight="false" outlineLevel="0" collapsed="false">
      <c r="A9" s="5" t="s">
        <v>253</v>
      </c>
      <c r="B9" s="34" t="n">
        <f aca="false">MIN(DCF!C31:E36)</f>
        <v>78.9419991240027</v>
      </c>
    </row>
    <row r="10" customFormat="false" ht="15" hidden="false" customHeight="false" outlineLevel="0" collapsed="false">
      <c r="A10" s="5" t="s">
        <v>254</v>
      </c>
      <c r="B10" s="34" t="n">
        <f aca="false">MAX(DCF!C31:E36)</f>
        <v>146.246648871436</v>
      </c>
    </row>
    <row r="11" customFormat="false" ht="15" hidden="false" customHeight="false" outlineLevel="0" collapsed="false">
      <c r="A11" s="5" t="s">
        <v>255</v>
      </c>
      <c r="B11" s="28" t="n">
        <f aca="false">Comps!C18</f>
        <v>112.03768624014</v>
      </c>
    </row>
    <row r="13" customFormat="false" ht="15" hidden="false" customHeight="false" outlineLevel="0" collapsed="false">
      <c r="A13" s="3" t="s">
        <v>256</v>
      </c>
      <c r="B13" s="3" t="s">
        <v>143</v>
      </c>
    </row>
    <row r="14" customFormat="false" ht="15" hidden="false" customHeight="false" outlineLevel="0" collapsed="false">
      <c r="A14" s="5" t="s">
        <v>257</v>
      </c>
      <c r="B14" s="5" t="str">
        <f aca="false">TEXT(Assumptions!B4,"0%")&amp;" → "&amp;TEXT(Assumptions!F4,"0%")</f>
        <v>10% → 5%</v>
      </c>
    </row>
    <row r="15" customFormat="false" ht="15" hidden="false" customHeight="false" outlineLevel="0" collapsed="false">
      <c r="A15" s="5" t="s">
        <v>258</v>
      </c>
      <c r="B15" s="20" t="n">
        <f aca="false">Assumptions!B6</f>
        <v>0.375</v>
      </c>
    </row>
    <row r="16" customFormat="false" ht="15" hidden="false" customHeight="false" outlineLevel="0" collapsed="false">
      <c r="A16" s="5" t="s">
        <v>197</v>
      </c>
      <c r="B16" s="20" t="n">
        <f aca="false">WACC!B18</f>
        <v>0.073261746192021</v>
      </c>
    </row>
    <row r="17" customFormat="false" ht="15" hidden="false" customHeight="false" outlineLevel="0" collapsed="false">
      <c r="A17" s="5" t="s">
        <v>259</v>
      </c>
      <c r="B17" s="20" t="n">
        <f aca="false">Assumptions!B15</f>
        <v>0.025</v>
      </c>
    </row>
    <row r="19" customFormat="false" ht="15" hidden="false" customHeight="false" outlineLevel="0" collapsed="false">
      <c r="A19" s="3" t="s">
        <v>260</v>
      </c>
      <c r="B19" s="3"/>
    </row>
    <row r="20" customFormat="false" ht="15" hidden="false" customHeight="false" outlineLevel="0" collapsed="false">
      <c r="A20" s="5" t="s">
        <v>261</v>
      </c>
    </row>
    <row r="21" customFormat="false" ht="15" hidden="false" customHeight="false" outlineLevel="0" collapsed="false">
      <c r="A21" s="5" t="s">
        <v>262</v>
      </c>
    </row>
    <row r="22" customFormat="false" ht="15" hidden="false" customHeight="false" outlineLevel="0" collapsed="false">
      <c r="A22" s="5" t="s">
        <v>263</v>
      </c>
    </row>
    <row r="23" customFormat="false" ht="15" hidden="false" customHeight="false" outlineLevel="0" collapsed="false">
      <c r="A23" s="5" t="s">
        <v>264</v>
      </c>
    </row>
    <row r="25" customFormat="false" ht="15" hidden="false" customHeight="false" outlineLevel="0" collapsed="false">
      <c r="A25" s="3" t="s">
        <v>265</v>
      </c>
      <c r="B25" s="3"/>
    </row>
    <row r="26" customFormat="false" ht="15" hidden="false" customHeight="false" outlineLevel="0" collapsed="false">
      <c r="A26" s="5" t="s">
        <v>266</v>
      </c>
    </row>
    <row r="27" customFormat="false" ht="15" hidden="false" customHeight="false" outlineLevel="0" collapsed="false">
      <c r="A27" s="5" t="s">
        <v>267</v>
      </c>
    </row>
    <row r="28" customFormat="false" ht="15" hidden="false" customHeight="false" outlineLevel="0" collapsed="false">
      <c r="A28" s="5" t="s">
        <v>268</v>
      </c>
    </row>
    <row r="30" customFormat="false" ht="15" hidden="false" customHeight="false" outlineLevel="0" collapsed="false">
      <c r="A30" s="2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2026-10-02T21:33:29Z</dcterms:created>
  <dc:creator>openpyxl</dc:creator>
  <dc:description/>
  <dc:language>en-US</dc:language>
  <cp:lastModifiedBy>muhammad ahsan</cp:lastModifiedBy>
  <dcterms:modified xsi:type="dcterms:W3CDTF">2026-10-07T03:42:16Z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